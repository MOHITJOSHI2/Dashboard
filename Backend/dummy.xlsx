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8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Spatial" sheetId="1" state="visible" r:id="rId2"/>
    <sheet name="Service Coverage" sheetId="2" state="visible" r:id="rId3"/>
    <sheet name="Adequacy" sheetId="3" state="visible" r:id="rId4"/>
    <sheet name="Water Quality Score" sheetId="4" state="visible" r:id="rId5"/>
    <sheet name="Reliability score" sheetId="5" state="visible" r:id="rId6"/>
    <sheet name="NRW" sheetId="6" state="visible" r:id="rId7"/>
    <sheet name="O&amp;M score" sheetId="7" state="visible" r:id="rId8"/>
    <sheet name="Metering Ratio Score" sheetId="8" state="visible" r:id="rId9"/>
    <sheet name="Grievance Addressal" sheetId="9" state="visible" r:id="rId10"/>
    <sheet name="Summary_Index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<sst xmlns="http://schemas.openxmlformats.org/spreadsheetml/2006/main" count="163" uniqueCount="83">
  <si>
    <t xml:space="preserve">WSUC_ID</t>
  </si>
  <si>
    <t xml:space="preserve">WSUC_Name</t>
  </si>
  <si>
    <t xml:space="preserve">Province_Name</t>
  </si>
  <si>
    <t xml:space="preserve">District_Name</t>
  </si>
  <si>
    <t xml:space="preserve">Municipality_Type</t>
  </si>
  <si>
    <t xml:space="preserve">Municipality_Name</t>
  </si>
  <si>
    <t xml:space="preserve">Wards_Covered</t>
  </si>
  <si>
    <t xml:space="preserve">WSUC_A</t>
  </si>
  <si>
    <t xml:space="preserve">Bagmati</t>
  </si>
  <si>
    <t xml:space="preserve">Chitwan</t>
  </si>
  <si>
    <t xml:space="preserve">Municipality</t>
  </si>
  <si>
    <t xml:space="preserve">Ratnanagar</t>
  </si>
  <si>
    <t xml:space="preserve">WSUC_B</t>
  </si>
  <si>
    <t xml:space="preserve">Gandaki</t>
  </si>
  <si>
    <t xml:space="preserve">Parbat</t>
  </si>
  <si>
    <t xml:space="preserve">Kusma</t>
  </si>
  <si>
    <t xml:space="preserve">WSUC_C</t>
  </si>
  <si>
    <t xml:space="preserve">Lalitpur</t>
  </si>
  <si>
    <t xml:space="preserve">Mahalaxmi</t>
  </si>
  <si>
    <t xml:space="preserve">WSUC_D</t>
  </si>
  <si>
    <t xml:space="preserve">Kaski</t>
  </si>
  <si>
    <t xml:space="preserve">Metropolitan</t>
  </si>
  <si>
    <t xml:space="preserve">Pokhara</t>
  </si>
  <si>
    <t xml:space="preserve">WSUC_E</t>
  </si>
  <si>
    <t xml:space="preserve">Tanahu</t>
  </si>
  <si>
    <t xml:space="preserve">Bhimad</t>
  </si>
  <si>
    <t xml:space="preserve">Prerequisite: Does Business Plan exist?</t>
  </si>
  <si>
    <t xml:space="preserve">Households_Served()</t>
  </si>
  <si>
    <t xml:space="preserve">Total_Households</t>
  </si>
  <si>
    <t xml:space="preserve">Coverage%</t>
  </si>
  <si>
    <t xml:space="preserve">Computed_Score</t>
  </si>
  <si>
    <t xml:space="preserve">Interpretation</t>
  </si>
  <si>
    <t xml:space="preserve">Yes</t>
  </si>
  <si>
    <t xml:space="preserve">Scheme_Type</t>
  </si>
  <si>
    <t xml:space="preserve">Billed_Volume(m3)</t>
  </si>
  <si>
    <t xml:space="preserve">Population_served</t>
  </si>
  <si>
    <t xml:space="preserve">Days</t>
  </si>
  <si>
    <t xml:space="preserve">Actual_LPCD</t>
  </si>
  <si>
    <t xml:space="preserve">Target_LPCD</t>
  </si>
  <si>
    <t xml:space="preserve">LPCD %</t>
  </si>
  <si>
    <t xml:space="preserve">Computed_score</t>
  </si>
  <si>
    <t xml:space="preserve">Gravity</t>
  </si>
  <si>
    <t xml:space="preserve">Pumped</t>
  </si>
  <si>
    <t xml:space="preserve">Rural</t>
  </si>
  <si>
    <t xml:space="preserve">Testing_Conducted</t>
  </si>
  <si>
    <t xml:space="preserve">E.Coli_Compliance</t>
  </si>
  <si>
    <t xml:space="preserve">Arsenic_Compliance</t>
  </si>
  <si>
    <t xml:space="preserve">Quality_Score</t>
  </si>
  <si>
    <t xml:space="preserve">Testing_score</t>
  </si>
  <si>
    <t xml:space="preserve">E.coli_score</t>
  </si>
  <si>
    <t xml:space="preserve">Arsenic_score</t>
  </si>
  <si>
    <t xml:space="preserve">yes</t>
  </si>
  <si>
    <t xml:space="preserve">no</t>
  </si>
  <si>
    <t xml:space="preserve">Hours_of_Supply(H)</t>
  </si>
  <si>
    <t xml:space="preserve">Reliability_score</t>
  </si>
  <si>
    <t xml:space="preserve">Remarks</t>
  </si>
  <si>
    <t xml:space="preserve">Logbook of pumping hours?</t>
  </si>
  <si>
    <t xml:space="preserve">Flow measurement via pump curve? (HP &amp; Head info)</t>
  </si>
  <si>
    <t xml:space="preserve">reservoir scale + distribution hours measured?</t>
  </si>
  <si>
    <t xml:space="preserve">Flow meters in transmission &amp; distribution?</t>
  </si>
  <si>
    <t xml:space="preserve">DMA-based network with sensors/software/data logging?</t>
  </si>
  <si>
    <t xml:space="preserve">Total NRW Score</t>
  </si>
  <si>
    <t xml:space="preserve">Total_Expenditure</t>
  </si>
  <si>
    <t xml:space="preserve">Total_Income</t>
  </si>
  <si>
    <t xml:space="preserve">Operating_Ratio</t>
  </si>
  <si>
    <t xml:space="preserve">Functional_Metered_Connections</t>
  </si>
  <si>
    <t xml:space="preserve">Total_Metered_Connections</t>
  </si>
  <si>
    <t xml:space="preserve">MR%</t>
  </si>
  <si>
    <t xml:space="preserve">Log_Book_Maintained?</t>
  </si>
  <si>
    <t xml:space="preserve">Grievance_Mechanism_Exists?</t>
  </si>
  <si>
    <t xml:space="preserve">Coverage_Score</t>
  </si>
  <si>
    <t xml:space="preserve">Adequacy_Score</t>
  </si>
  <si>
    <t xml:space="preserve">Water_Quality</t>
  </si>
  <si>
    <t xml:space="preserve">Reliability_Score</t>
  </si>
  <si>
    <t xml:space="preserve">NRW_Score</t>
  </si>
  <si>
    <t xml:space="preserve">O_and_M_Score</t>
  </si>
  <si>
    <t xml:space="preserve">Metering_Score</t>
  </si>
  <si>
    <t xml:space="preserve">Grievance_Score</t>
  </si>
  <si>
    <t xml:space="preserve">SPI</t>
  </si>
  <si>
    <t xml:space="preserve">OEI</t>
  </si>
  <si>
    <t xml:space="preserve">CWPI_Percentage</t>
  </si>
  <si>
    <t xml:space="preserve">CWPI_Interpretation</t>
  </si>
  <si>
    <t xml:space="preserve">Type_A_to_D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</si>
</sst>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0.0"/>
    <numFmt numFmtId="168" formatCode="0"/>
  </numFmts>
  <fonts count="11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sz val="11"/>
      <color rgb="FFFFFFFF"/>
      <name val="Aptos Narrow"/>
      <family val="2"/>
      <charset val="1"/>
    </font>
    <font>
      <sz val="9"/>
      <color rgb="FFFFFFFF"/>
      <name val="Times New Roman"/>
      <family val="1"/>
      <charset val="1"/>
    </font>
    <font>
      <sz val="9"/>
      <name val="Times New Roman"/>
      <family val="1"/>
      <charset val="1"/>
    </font>
    <font>
      <i val="true"/>
      <sz val="9"/>
      <name val="Times New Roman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rgb="FF156082"/>
        <bgColor rgb="FF008080"/>
      </patternFill>
    </fill>
    <fill>
      <patternFill patternType="solid">
        <fgColor rgb="FFE97132"/>
        <bgColor rgb="FFFF8080"/>
      </patternFill>
    </fill>
    <fill>
      <patternFill patternType="solid">
        <fgColor rgb="FFF6C6AD"/>
        <bgColor rgb="FFC0C0C0"/>
      </patternFill>
    </fill>
    <fill>
      <patternFill patternType="solid">
        <fgColor rgb="FF196B24"/>
        <bgColor rgb="FF156082"/>
      </patternFill>
    </fill>
    <fill>
      <patternFill patternType="solid">
        <fgColor rgb="FFA02B93"/>
        <bgColor rgb="FF993366"/>
      </patternFill>
    </fill>
    <fill>
      <patternFill patternType="solid">
        <fgColor rgb="FF4EA72E"/>
        <bgColor rgb="FF8080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2" borderId="0" applyFont="true" applyBorder="false" applyAlignment="true" applyProtection="false">
      <alignment horizontal="general" vertical="bottom" textRotation="0" wrapText="false" indent="0" shrinkToFit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Accent1" xfId="20"/>
  </cellStyles>
  <dxfs count="8">
    <dxf>
      <fill>
        <patternFill patternType="solid">
          <fgColor rgb="FFE97132"/>
        </patternFill>
      </fill>
    </dxf>
    <dxf>
      <fill>
        <patternFill patternType="solid">
          <fgColor rgb="00FFFFFF"/>
        </patternFill>
      </fill>
    </dxf>
    <dxf>
      <font>
        <name val="Aptos Narrow"/>
        <charset val="1"/>
        <family val="2"/>
        <color rgb="FF000000"/>
        <sz val="11"/>
      </font>
    </dxf>
    <dxf>
      <fill>
        <patternFill patternType="solid">
          <fgColor rgb="FF156082"/>
        </patternFill>
      </fill>
    </dxf>
    <dxf>
      <fill>
        <patternFill patternType="solid">
          <fgColor rgb="FF196B24"/>
        </patternFill>
      </fill>
    </dxf>
    <dxf>
      <fill>
        <patternFill patternType="solid">
          <fgColor rgb="FFA02B93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4EA72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C0C0C0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C6AD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0" displayName="Table10" ref="A1:E7" headerRowCount="1" totalsRowCount="0" totalsRowShown="0">
  <autoFilter ref="A1:E7"/>
  <tableColumns count="5">
    <tableColumn id="1" name="WSUC_ID"/>
    <tableColumn id="2" name="Log_Book_Maintained?"/>
    <tableColumn id="3" name="Grievance_Mechanism_Exists?"/>
    <tableColumn id="4" name="Computed_score"/>
    <tableColumn id="5" name="Interpretation"/>
  </tableColumns>
</table>
</file>

<file path=xl/tables/table2.xml><?xml version="1.0" encoding="utf-8"?>
<table xmlns="http://schemas.openxmlformats.org/spreadsheetml/2006/main" id="2" name="Table11" displayName="Table11" ref="A1:H8" headerRowCount="1" totalsRowCount="0" totalsRowShown="0">
  <autoFilter ref="A1:H8"/>
  <tableColumns count="8">
    <tableColumn id="1" name="WSUC_ID"/>
    <tableColumn id="2" name="Logbook of pumping hours?"/>
    <tableColumn id="3" name="Flow measurement via pump curve? (HP &amp; Head info)"/>
    <tableColumn id="4" name="reservoir scale + distribution hours measured?"/>
    <tableColumn id="5" name="Flow meters in transmission &amp; distribution?"/>
    <tableColumn id="6" name="DMA-based network with sensors/software/data logging?"/>
    <tableColumn id="7" name="Total NRW Score"/>
    <tableColumn id="8" name="Interpretation"/>
  </tableColumns>
</table>
</file>

<file path=xl/tables/table3.xml><?xml version="1.0" encoding="utf-8"?>
<table xmlns="http://schemas.openxmlformats.org/spreadsheetml/2006/main" id="3" name="Table3" displayName="Table3" ref="A1:J6" headerRowCount="1" totalsRowCount="0" totalsRowShown="0">
  <autoFilter ref="A1:J6"/>
  <tableColumns count="10">
    <tableColumn id="1" name="WSUC_ID"/>
    <tableColumn id="2" name="Scheme_Type"/>
    <tableColumn id="3" name="Billed_Volume(m3)"/>
    <tableColumn id="4" name="Population_served"/>
    <tableColumn id="5" name="Days"/>
    <tableColumn id="6" name="Actual_LPCD"/>
    <tableColumn id="7" name="Target_LPCD"/>
    <tableColumn id="8" name="LPCD %"/>
    <tableColumn id="9" name="Computed_score"/>
    <tableColumn id="10" name="Interpretation"/>
  </tableColumns>
</table>
</file>

<file path=xl/tables/table4.xml><?xml version="1.0" encoding="utf-8"?>
<table xmlns="http://schemas.openxmlformats.org/spreadsheetml/2006/main" id="4" name="tbl_Coverage" displayName="tbl_Coverage" ref="A1:G6" headerRowCount="1" totalsRowCount="0" totalsRowShown="0">
  <autoFilter ref="A1:G6"/>
  <tableColumns count="7">
    <tableColumn id="1" name="WSUC_ID"/>
    <tableColumn id="2" name="Prerequisite: Does Business Plan exist?"/>
    <tableColumn id="3" name="Households_Served()"/>
    <tableColumn id="4" name="Total_Households"/>
    <tableColumn id="5" name="Coverage%"/>
    <tableColumn id="6" name="Computed_Score"/>
    <tableColumn id="7" name="Interpretation"/>
  </tableColumns>
</table>
</file>

<file path=xl/tables/table5.xml><?xml version="1.0" encoding="utf-8"?>
<table xmlns="http://schemas.openxmlformats.org/spreadsheetml/2006/main" id="5" name="tbl_Metering" displayName="tbl_Metering" ref="A1:F7" headerRowCount="1" totalsRowCount="0" totalsRowShown="0">
  <autoFilter ref="A1:F7"/>
  <tableColumns count="6">
    <tableColumn id="1" name="WSUC_ID"/>
    <tableColumn id="2" name="Functional_Metered_Connections"/>
    <tableColumn id="3" name="Total_Metered_Connections"/>
    <tableColumn id="4" name="MR%"/>
    <tableColumn id="5" name="Computed_Score"/>
    <tableColumn id="6" name="Interpretation"/>
  </tableColumns>
</table>
</file>

<file path=xl/tables/table6.xml><?xml version="1.0" encoding="utf-8"?>
<table xmlns="http://schemas.openxmlformats.org/spreadsheetml/2006/main" id="6" name="tbl_OR" displayName="tbl_OR" ref="A1:F9" headerRowCount="1" totalsRowCount="0" totalsRowShown="0">
  <autoFilter ref="A1:F9"/>
  <tableColumns count="6">
    <tableColumn id="1" name="WSUC_ID"/>
    <tableColumn id="2" name="Total_Expenditure"/>
    <tableColumn id="3" name="Total_Income"/>
    <tableColumn id="4" name="Operating_Ratio"/>
    <tableColumn id="5" name="Computed_Score"/>
    <tableColumn id="6" name="Interpretation"/>
  </tableColumns>
</table>
</file>

<file path=xl/tables/table7.xml><?xml version="1.0" encoding="utf-8"?>
<table xmlns="http://schemas.openxmlformats.org/spreadsheetml/2006/main" id="7" name="tbl_Reliability" displayName="tbl_Reliability" ref="A1:E6" headerRowCount="1" totalsRowCount="0" totalsRowShown="0">
  <autoFilter ref="A1:E6"/>
  <tableColumns count="5">
    <tableColumn id="1" name="WSUC_ID"/>
    <tableColumn id="2" name="Hours_of_Supply(H)"/>
    <tableColumn id="3" name="Reliability_score"/>
    <tableColumn id="4" name="Interpretation"/>
    <tableColumn id="5" name="Remarks"/>
  </tableColumns>
</table>
</file>

<file path=xl/tables/table8.xml><?xml version="1.0" encoding="utf-8"?>
<table xmlns="http://schemas.openxmlformats.org/spreadsheetml/2006/main" id="8" name="tbl_Spatial" displayName="tbl_Spatial" ref="A1:G6" headerRowCount="1" totalsRowCount="0" totalsRowShown="0">
  <autoFilter ref="A1:G6"/>
  <tableColumns count="7">
    <tableColumn id="1" name="WSUC_ID"/>
    <tableColumn id="2" name="WSUC_Name"/>
    <tableColumn id="3" name="Province_Name"/>
    <tableColumn id="4" name="District_Name"/>
    <tableColumn id="5" name="Municipality_Type"/>
    <tableColumn id="6" name="Municipality_Name"/>
    <tableColumn id="7" name="Wards_Covered"/>
  </tableColumns>
</table>
</file>

<file path=xl/tables/table9.xml><?xml version="1.0" encoding="utf-8"?>
<table xmlns="http://schemas.openxmlformats.org/spreadsheetml/2006/main" id="9" name="tbl_WaterQuality" displayName="tbl_WaterQuality" ref="A1:I6" headerRowCount="1" totalsRowCount="0" totalsRowShown="0">
  <autoFilter ref="A1:I6"/>
  <tableColumns count="9">
    <tableColumn id="1" name="WSUC_ID"/>
    <tableColumn id="2" name="Testing_Conducted"/>
    <tableColumn id="3" name="E.Coli_Compliance"/>
    <tableColumn id="4" name="Arsenic_Compliance"/>
    <tableColumn id="5" name="Quality_Score"/>
    <tableColumn id="6" name="Interpretation"/>
    <tableColumn id="7" name="Testing_score"/>
    <tableColumn id="8" name="E.coli_score"/>
    <tableColumn id="9" name="Arsenic_scor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12.66"/>
    <col collapsed="false" customWidth="true" hidden="false" outlineLevel="0" max="2" min="2" style="0" width="21.67"/>
    <col collapsed="false" customWidth="true" hidden="false" outlineLevel="0" max="3" min="3" style="0" width="17.67"/>
    <col collapsed="false" customWidth="true" hidden="false" outlineLevel="0" max="4" min="4" style="0" width="16.44"/>
    <col collapsed="false" customWidth="true" hidden="false" outlineLevel="0" max="5" min="5" style="0" width="20.22"/>
    <col collapsed="false" customWidth="true" hidden="false" outlineLevel="0" max="6" min="6" style="0" width="21"/>
    <col collapsed="false" customWidth="true" hidden="false" outlineLevel="0" max="7" min="7" style="0" width="18.11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true" outlineLevel="0" collapsed="false">
      <c r="A2" s="2" t="n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n">
        <v>12</v>
      </c>
    </row>
    <row r="3" customFormat="false" ht="14.25" hidden="false" customHeight="true" outlineLevel="0" collapsed="false">
      <c r="A3" s="2" t="n">
        <v>2</v>
      </c>
      <c r="B3" s="2" t="s">
        <v>12</v>
      </c>
      <c r="C3" s="2" t="s">
        <v>13</v>
      </c>
      <c r="D3" s="2" t="s">
        <v>14</v>
      </c>
      <c r="E3" s="2" t="s">
        <v>10</v>
      </c>
      <c r="F3" s="2" t="s">
        <v>15</v>
      </c>
      <c r="G3" s="2" t="n">
        <v>7</v>
      </c>
    </row>
    <row r="4" customFormat="false" ht="14.25" hidden="false" customHeight="true" outlineLevel="0" collapsed="false">
      <c r="A4" s="2" t="n">
        <v>3</v>
      </c>
      <c r="B4" s="2" t="s">
        <v>16</v>
      </c>
      <c r="C4" s="2" t="s">
        <v>8</v>
      </c>
      <c r="D4" s="2" t="s">
        <v>17</v>
      </c>
      <c r="E4" s="2" t="s">
        <v>10</v>
      </c>
      <c r="F4" s="2" t="s">
        <v>18</v>
      </c>
      <c r="G4" s="2" t="n">
        <v>5</v>
      </c>
    </row>
    <row r="5" customFormat="false" ht="14.25" hidden="false" customHeight="true" outlineLevel="0" collapsed="false">
      <c r="A5" s="2" t="n">
        <v>4</v>
      </c>
      <c r="B5" s="2" t="s">
        <v>19</v>
      </c>
      <c r="C5" s="2" t="s">
        <v>13</v>
      </c>
      <c r="D5" s="2" t="s">
        <v>20</v>
      </c>
      <c r="E5" s="2" t="s">
        <v>21</v>
      </c>
      <c r="F5" s="2" t="s">
        <v>22</v>
      </c>
      <c r="G5" s="2" t="n">
        <v>18</v>
      </c>
    </row>
    <row r="6" customFormat="false" ht="14.25" hidden="false" customHeight="true" outlineLevel="0" collapsed="false">
      <c r="A6" s="2" t="n">
        <v>5</v>
      </c>
      <c r="B6" s="2" t="s">
        <v>23</v>
      </c>
      <c r="C6" s="2" t="s">
        <v>13</v>
      </c>
      <c r="D6" s="2" t="s">
        <v>24</v>
      </c>
      <c r="E6" s="2" t="s">
        <v>10</v>
      </c>
      <c r="F6" s="2" t="s">
        <v>25</v>
      </c>
      <c r="G6" s="2" t="n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12.66"/>
    <col collapsed="false" customWidth="true" hidden="false" outlineLevel="0" max="2" min="2" style="0" width="39.66"/>
    <col collapsed="false" customWidth="true" hidden="false" outlineLevel="0" max="3" min="3" style="0" width="23.11"/>
    <col collapsed="false" customWidth="true" hidden="false" outlineLevel="0" max="4" min="4" style="0" width="22.67"/>
    <col collapsed="false" customWidth="true" hidden="false" outlineLevel="0" max="5" min="5" style="0" width="20.55"/>
    <col collapsed="false" customWidth="true" hidden="false" outlineLevel="0" max="6" min="6" style="0" width="19.11"/>
    <col collapsed="false" customWidth="true" hidden="false" outlineLevel="0" max="7" min="7" style="0" width="34.34"/>
    <col collapsed="false" customWidth="true" hidden="false" outlineLevel="0" max="8" min="8" style="0" width="19.11"/>
  </cols>
  <sheetData>
    <row r="1" customFormat="false" ht="15" hidden="false" customHeight="true" outlineLevel="0" collapsed="false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customFormat="false" ht="14.25" hidden="false" customHeight="true" outlineLevel="0" collapsed="false">
      <c r="A2" s="3" t="n">
        <v>1</v>
      </c>
      <c r="B2" s="3" t="s">
        <v>32</v>
      </c>
      <c r="C2" s="3" t="n">
        <v>4200</v>
      </c>
      <c r="D2" s="3" t="n">
        <v>4200</v>
      </c>
      <c r="E2" s="4" t="n">
        <f aca="false">IF(OR(C2=0,D2=0),"",C2/D2*100)</f>
        <v>100</v>
      </c>
      <c r="F2" s="5" t="n">
        <f aca="false">IF(E2="","",IF(E2&gt;=100,1,IF(E2&lt;=60,0,(E2-60)/40)))</f>
        <v>1</v>
      </c>
      <c r="G2" s="3" t="str">
        <f aca="false">IF($B2&lt;&gt;"Yes","NOT ELIGIBLE – No Business Plan exists",IF(F2=1,"Fully compliant – universal coverage",IF(F2=0,"Non-compliant – below minimum threshold","Partially compliant – improving toward full")))</f>
        <v>Fully compliant – universal coverage</v>
      </c>
    </row>
    <row r="3" customFormat="false" ht="14.25" hidden="false" customHeight="true" outlineLevel="0" collapsed="false">
      <c r="A3" s="3" t="n">
        <v>2</v>
      </c>
      <c r="B3" s="3" t="s">
        <v>32</v>
      </c>
      <c r="C3" s="3" t="n">
        <v>2640</v>
      </c>
      <c r="D3" s="3" t="n">
        <v>3000</v>
      </c>
      <c r="E3" s="4" t="n">
        <f aca="false">IF(OR(C3=0,D3=0),"",C3/D3*100)</f>
        <v>88</v>
      </c>
      <c r="F3" s="5" t="n">
        <f aca="false">IF(E3="","",IF(E3&gt;=100,1,IF(E3&lt;=60,0,(E3-60)/40)))</f>
        <v>0.7</v>
      </c>
      <c r="G3" s="3" t="str">
        <f aca="false">IF($B3&lt;&gt;"Yes","NOT ELIGIBLE – No Business Plan exists",IF(F3=1,"Fully compliant – universal coverage",IF(F3=0,"Non-compliant – below minimum threshold","Partially compliant – improving toward full")))</f>
        <v>Partially compliant – improving toward full</v>
      </c>
    </row>
    <row r="4" customFormat="false" ht="14.25" hidden="false" customHeight="true" outlineLevel="0" collapsed="false">
      <c r="A4" s="3" t="n">
        <v>3</v>
      </c>
      <c r="B4" s="3" t="s">
        <v>32</v>
      </c>
      <c r="C4" s="3" t="n">
        <v>1672</v>
      </c>
      <c r="D4" s="3" t="n">
        <v>2200</v>
      </c>
      <c r="E4" s="4" t="n">
        <f aca="false">IF(OR(C4=0,D4=0),"",C4/D4*100)</f>
        <v>76</v>
      </c>
      <c r="F4" s="5" t="n">
        <f aca="false">IF(E4="","",IF(E4&gt;=100,1,IF(E4&lt;=60,0,(E4-60)/40)))</f>
        <v>0.4</v>
      </c>
      <c r="G4" s="3" t="str">
        <f aca="false">IF($B4&lt;&gt;"Yes","NOT ELIGIBLE – No Business Plan exists",IF(F4=1,"Fully compliant – universal coverage",IF(F4=0,"Non-compliant – below minimum threshold","Partially compliant – improving toward full")))</f>
        <v>Partially compliant – improving toward full</v>
      </c>
    </row>
    <row r="5" customFormat="false" ht="14.25" hidden="false" customHeight="true" outlineLevel="0" collapsed="false">
      <c r="A5" s="3" t="n">
        <v>4</v>
      </c>
      <c r="B5" s="3" t="s">
        <v>32</v>
      </c>
      <c r="C5" s="3" t="n">
        <v>1210</v>
      </c>
      <c r="D5" s="3" t="n">
        <v>2200</v>
      </c>
      <c r="E5" s="4" t="n">
        <f aca="false">IF(OR(C5=0,D5=0),"",C5/D5*100)</f>
        <v>55</v>
      </c>
      <c r="F5" s="5" t="n">
        <f aca="false">IF(E5="","",IF(E5&gt;=100,1,IF(E5&lt;=60,0,(E5-60)/40)))</f>
        <v>0</v>
      </c>
      <c r="G5" s="3" t="str">
        <f aca="false">IF($B5&lt;&gt;"Yes","NOT ELIGIBLE – No Business Plan exists",IF(F5=1,"Fully compliant – universal coverage",IF(F5=0,"Non-compliant – below minimum threshold","Partially compliant – improving toward full")))</f>
        <v>Non-compliant – below minimum threshold</v>
      </c>
    </row>
    <row r="6" customFormat="false" ht="14.25" hidden="false" customHeight="true" outlineLevel="0" collapsed="false">
      <c r="A6" s="3" t="n">
        <v>5</v>
      </c>
      <c r="B6" s="3" t="s">
        <v>32</v>
      </c>
      <c r="C6" s="3" t="n">
        <v>3384</v>
      </c>
      <c r="D6" s="3" t="n">
        <v>3600</v>
      </c>
      <c r="E6" s="4" t="n">
        <f aca="false">IF(OR(C6=0,D6=0),"",C6/D6*100)</f>
        <v>94</v>
      </c>
      <c r="F6" s="5" t="n">
        <f aca="false">IF(E6="","",IF(E6&gt;=100,1,IF(E6&lt;=60,0,(E6-60)/40)))</f>
        <v>0.85</v>
      </c>
      <c r="G6" s="3" t="str">
        <f aca="false">IF($B6&lt;&gt;"Yes","NOT ELIGIBLE – No Business Plan exists",IF(F6=1,"Fully compliant – universal coverage",IF(F6=0,"Non-compliant – below minimum threshold","Partially compliant – improving toward full")))</f>
        <v>Partially compliant – improving toward full</v>
      </c>
    </row>
  </sheetData>
  <conditionalFormatting sqref="A1:G6">
    <cfRule type="expression" priority="2" aboveAverage="0" equalAverage="0" bottom="0" percent="0" rank="0" text="" dxfId="2">
      <formula>$B2="No"</formula>
    </cfRule>
  </conditionalFormatting>
  <dataValidations count="2">
    <dataValidation allowBlank="true" error="Please select Yes or No only." errorStyle="stop" errorTitle="Invalid Entry" operator="between" prompt="Select Yes if a documented Business Plan exists for this WSUC." promptTitle="Business Plan Check" showDropDown="false" showErrorMessage="true" showInputMessage="true" sqref="B2:B6" type="list">
      <formula1>"Yes,No"</formula1>
      <formula2>0</formula2>
    </dataValidation>
    <dataValidation allowBlank="false" error="Please select Yes or No only." errorStyle="stop" errorTitle="Invalid Entry" operator="between" prompt="Select Yes if a documented Business Plan exists for this WSUC" promptTitle="Business Plan Check" showDropDown="false" showErrorMessage="true" showInputMessage="true" sqref="B1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11.66"/>
    <col collapsed="false" customWidth="true" hidden="false" outlineLevel="0" max="2" min="2" style="0" width="15"/>
    <col collapsed="false" customWidth="true" hidden="false" outlineLevel="0" max="3" min="3" style="6" width="20.22"/>
    <col collapsed="false" customWidth="true" hidden="false" outlineLevel="0" max="4" min="4" style="0" width="20"/>
    <col collapsed="false" customWidth="true" hidden="false" outlineLevel="0" max="5" min="5" style="0" width="12.11"/>
    <col collapsed="false" customWidth="true" hidden="false" outlineLevel="0" max="6" min="6" style="0" width="15.55"/>
    <col collapsed="false" customWidth="true" hidden="false" outlineLevel="0" max="7" min="7" style="0" width="16"/>
    <col collapsed="false" customWidth="true" hidden="false" outlineLevel="0" max="8" min="8" style="0" width="12.66"/>
    <col collapsed="false" customWidth="true" hidden="false" outlineLevel="0" max="9" min="9" style="0" width="22.44"/>
    <col collapsed="false" customWidth="true" hidden="false" outlineLevel="0" max="10" min="10" style="0" width="24.21"/>
  </cols>
  <sheetData>
    <row r="1" customFormat="false" ht="15" hidden="false" customHeight="true" outlineLevel="0" collapsed="false">
      <c r="A1" s="7" t="s">
        <v>0</v>
      </c>
      <c r="B1" s="7" t="s">
        <v>33</v>
      </c>
      <c r="C1" s="8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7" t="s">
        <v>31</v>
      </c>
    </row>
    <row r="2" customFormat="false" ht="23.25" hidden="false" customHeight="true" outlineLevel="0" collapsed="false">
      <c r="A2" s="3" t="n">
        <v>1</v>
      </c>
      <c r="B2" s="3" t="s">
        <v>41</v>
      </c>
      <c r="C2" s="3" t="n">
        <v>19500</v>
      </c>
      <c r="D2" s="3" t="n">
        <v>5000</v>
      </c>
      <c r="E2" s="3" t="n">
        <v>30</v>
      </c>
      <c r="F2" s="4" t="n">
        <f aca="false">IF(AND(C2&gt;0,D2&gt;0,E2&gt;0),(C2*1000)/(D2*E2),"")</f>
        <v>130</v>
      </c>
      <c r="G2" s="3" t="n">
        <f aca="false">IF(B2="Gravity",120,IF(B2="Pumped",100,IF(B2="Rural",45,"Invalid Type")))</f>
        <v>120</v>
      </c>
      <c r="H2" s="4" t="n">
        <f aca="false">IF(AND(F2&lt;&gt;"",G2&gt;0),F2/G2*100,"")</f>
        <v>108.333333333333</v>
      </c>
      <c r="I2" s="5" t="n">
        <f aca="false">IF(H2="","",IF(B2="Rural",IF(H2&gt;=45,1,IF(AND(H2&gt;=20,H2&lt;45),(H2-19.99)/25,0)),IF(H2&gt;=100,1,IF(AND(H2&gt;=45,H2&lt;100),(H2-45)/55,0))))</f>
        <v>1</v>
      </c>
      <c r="J2" s="3" t="str">
        <f aca="false">IF(I2="","",IF(I2=1,"Fully compliant with benchmark",IF(I2=0,"Non-compliant; below minimum threshold","Partially compliant; improving progressively")))</f>
        <v>Fully compliant with benchmark</v>
      </c>
    </row>
    <row r="3" customFormat="false" ht="23.25" hidden="false" customHeight="true" outlineLevel="0" collapsed="false">
      <c r="A3" s="3" t="n">
        <v>2</v>
      </c>
      <c r="B3" s="3" t="s">
        <v>42</v>
      </c>
      <c r="C3" s="3" t="n">
        <v>6750</v>
      </c>
      <c r="D3" s="3" t="n">
        <v>3000</v>
      </c>
      <c r="E3" s="3" t="n">
        <v>30</v>
      </c>
      <c r="F3" s="4" t="n">
        <f aca="false">IF(AND(C3&gt;0,D3&gt;0,E3&gt;0),(C3*1000)/(D3*E3),"")</f>
        <v>75</v>
      </c>
      <c r="G3" s="3" t="n">
        <f aca="false">IF(B3="Gravity",120,IF(B3="Pumped",100,IF(B3="Rural",45,"Invalid Type")))</f>
        <v>100</v>
      </c>
      <c r="H3" s="4" t="n">
        <f aca="false">IF(AND(F3&lt;&gt;"",G3&gt;0),F3/G3*100,"")</f>
        <v>75</v>
      </c>
      <c r="I3" s="5" t="n">
        <f aca="false">IF(H3="","",IF(B3="Rural",IF(H3&gt;=45,1,IF(AND(H3&gt;=20,H3&lt;45),(H3-19.99)/25,0)),IF(H3&gt;=100,1,IF(AND(H3&gt;=45,H3&lt;100),(H3-45)/55,0))))</f>
        <v>0.545454545454545</v>
      </c>
      <c r="J3" s="3" t="str">
        <f aca="false">IF(I3="","",IF(I3=1,"Fully compliant with benchmark",IF(I3=0,"Non-compliant; below minimum threshold","Partially compliant; improving progressively")))</f>
        <v>Partially compliant; improving progressively</v>
      </c>
    </row>
    <row r="4" customFormat="false" ht="23.25" hidden="false" customHeight="true" outlineLevel="0" collapsed="false">
      <c r="A4" s="3" t="n">
        <v>3</v>
      </c>
      <c r="B4" s="3" t="s">
        <v>41</v>
      </c>
      <c r="C4" s="3" t="n">
        <v>4875</v>
      </c>
      <c r="D4" s="3" t="n">
        <v>2500</v>
      </c>
      <c r="E4" s="3" t="n">
        <v>30</v>
      </c>
      <c r="F4" s="4" t="n">
        <f aca="false">IF(AND(C4&gt;0,D4&gt;0,E4&gt;0),(C4*1000)/(D4*E4),"")</f>
        <v>65</v>
      </c>
      <c r="G4" s="3" t="n">
        <f aca="false">IF(B4="Gravity",120,IF(B4="Pumped",100,IF(B4="Rural",45,"Invalid Type")))</f>
        <v>120</v>
      </c>
      <c r="H4" s="4" t="n">
        <f aca="false">IF(AND(F4&lt;&gt;"",G4&gt;0),F4/G4*100,"")</f>
        <v>54.1666666666667</v>
      </c>
      <c r="I4" s="5" t="n">
        <f aca="false">IF(H4="","",IF(B4="Rural",IF(H4&gt;=45,1,IF(AND(H4&gt;=20,H4&lt;45),(H4-19.99)/25,0)),IF(H4&gt;=100,1,IF(AND(H4&gt;=45,H4&lt;100),(H4-45)/55,0))))</f>
        <v>0.166666666666667</v>
      </c>
      <c r="J4" s="3" t="str">
        <f aca="false">IF(I4="","",IF(I4=1,"Fully compliant with benchmark",IF(I4=0,"Non-compliant; below minimum threshold","Partially compliant; improving progressively")))</f>
        <v>Partially compliant; improving progressively</v>
      </c>
    </row>
    <row r="5" customFormat="false" ht="23.25" hidden="false" customHeight="true" outlineLevel="0" collapsed="false">
      <c r="A5" s="3" t="n">
        <v>4</v>
      </c>
      <c r="B5" s="3" t="s">
        <v>43</v>
      </c>
      <c r="C5" s="3" t="n">
        <v>675</v>
      </c>
      <c r="D5" s="3" t="n">
        <v>1500</v>
      </c>
      <c r="E5" s="3" t="n">
        <v>30</v>
      </c>
      <c r="F5" s="4" t="n">
        <f aca="false">IF(AND(C5&gt;0,D5&gt;0,E5&gt;0),(C5*1000)/(D5*E5),"")</f>
        <v>15</v>
      </c>
      <c r="G5" s="3" t="n">
        <f aca="false">IF(B5="Gravity",120,IF(B5="Pumped",100,IF(B5="Rural",45,"Invalid Type")))</f>
        <v>45</v>
      </c>
      <c r="H5" s="4" t="n">
        <f aca="false">IF(AND(F5&lt;&gt;"",G5&gt;0),F5/G5*100,"")</f>
        <v>33.3333333333333</v>
      </c>
      <c r="I5" s="5" t="n">
        <f aca="false">IF(H5="","",IF(B5="Rural",IF(H5&gt;=45,1,IF(AND(H5&gt;=20,H5&lt;45),(H5-19.99)/25,0)),IF(H5&gt;=100,1,IF(AND(H5&gt;=45,H5&lt;100),(H5-45)/55,0))))</f>
        <v>0.533733333333333</v>
      </c>
      <c r="J5" s="3" t="str">
        <f aca="false">IF(I5="","",IF(I5=1,"Fully compliant with benchmark",IF(I5=0,"Non-compliant; below minimum threshold","Partially compliant; improving progressively")))</f>
        <v>Partially compliant; improving progressively</v>
      </c>
    </row>
    <row r="6" customFormat="false" ht="23.25" hidden="false" customHeight="true" outlineLevel="0" collapsed="false">
      <c r="A6" s="3" t="n">
        <v>5</v>
      </c>
      <c r="B6" s="3" t="s">
        <v>42</v>
      </c>
      <c r="C6" s="3" t="n">
        <v>7560</v>
      </c>
      <c r="D6" s="3" t="n">
        <v>2800</v>
      </c>
      <c r="E6" s="3" t="n">
        <v>30</v>
      </c>
      <c r="F6" s="4" t="n">
        <f aca="false">IF(AND(C6&gt;0,D6&gt;0,E6&gt;0),(C6*1000)/(D6*E6),"")</f>
        <v>90</v>
      </c>
      <c r="G6" s="3" t="n">
        <f aca="false">IF(B6="Gravity",120,IF(B6="Pumped",100,IF(B6="Rural",45,"Invalid Type")))</f>
        <v>100</v>
      </c>
      <c r="H6" s="4" t="n">
        <f aca="false">IF(AND(F6&lt;&gt;"",G6&gt;0),F6/G6*100,"")</f>
        <v>90</v>
      </c>
      <c r="I6" s="5" t="n">
        <f aca="false">IF(H6="","",IF(B6="Rural",IF(H6&gt;=45,1,IF(AND(H6&gt;=20,H6&lt;45),(H6-19.99)/25,0)),IF(H6&gt;=100,1,IF(AND(H6&gt;=45,H6&lt;100),(H6-45)/55,0))))</f>
        <v>0.818181818181818</v>
      </c>
      <c r="J6" s="3" t="str">
        <f aca="false">IF(I6="","",IF(I6=1,"Fully compliant with benchmark",IF(I6=0,"Non-compliant; below minimum threshold","Partially compliant; improving progressively")))</f>
        <v>Partially compliant; improving progressively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12.66"/>
    <col collapsed="false" customWidth="true" hidden="false" outlineLevel="0" max="2" min="2" style="0" width="21"/>
    <col collapsed="false" customWidth="true" hidden="false" outlineLevel="0" max="3" min="3" style="0" width="20.67"/>
    <col collapsed="false" customWidth="true" hidden="false" outlineLevel="0" max="4" min="4" style="0" width="22"/>
    <col collapsed="false" customWidth="true" hidden="false" outlineLevel="0" max="5" min="5" style="0" width="17.11"/>
    <col collapsed="false" customWidth="true" hidden="false" outlineLevel="0" max="6" min="6" style="0" width="19.67"/>
    <col collapsed="false" customWidth="true" hidden="false" outlineLevel="0" max="7" min="7" style="0" width="16"/>
    <col collapsed="false" customWidth="true" hidden="false" outlineLevel="0" max="8" min="8" style="0" width="16.66"/>
    <col collapsed="false" customWidth="true" hidden="false" outlineLevel="0" max="9" min="9" style="0" width="16.11"/>
  </cols>
  <sheetData>
    <row r="1" customFormat="false" ht="15" hidden="false" customHeight="true" outlineLevel="0" collapsed="false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31</v>
      </c>
      <c r="G1" s="1" t="s">
        <v>48</v>
      </c>
      <c r="H1" s="1" t="s">
        <v>49</v>
      </c>
      <c r="I1" s="1" t="s">
        <v>50</v>
      </c>
    </row>
    <row r="2" customFormat="false" ht="42.75" hidden="false" customHeight="true" outlineLevel="0" collapsed="false">
      <c r="A2" s="3" t="n">
        <v>1</v>
      </c>
      <c r="B2" s="3" t="s">
        <v>51</v>
      </c>
      <c r="C2" s="3" t="s">
        <v>51</v>
      </c>
      <c r="D2" s="3" t="s">
        <v>51</v>
      </c>
      <c r="E2" s="5" t="n">
        <f aca="false">SUM(G2:I2)</f>
        <v>1</v>
      </c>
      <c r="F2" s="3" t="str">
        <f aca="false">IF(E2=1,"Fully compliant – all sub-indicators met",IF(E2=0,"Non-compliant – critical failure","Partially compliant – some sub-indicators met"))</f>
        <v>Fully compliant – all sub-indicators met</v>
      </c>
      <c r="G2" s="9" t="n">
        <f aca="false">IF(UPPER(B2)="YES",0.2,0)</f>
        <v>0.2</v>
      </c>
      <c r="H2" s="9" t="n">
        <f aca="false">IF(UPPER(C2)="YES",0.4,0)</f>
        <v>0.4</v>
      </c>
      <c r="I2" s="9" t="n">
        <f aca="false">IF(UPPER(D2)="YES",0.4,0)</f>
        <v>0.4</v>
      </c>
    </row>
    <row r="3" customFormat="false" ht="42.75" hidden="false" customHeight="true" outlineLevel="0" collapsed="false">
      <c r="A3" s="3" t="n">
        <v>2</v>
      </c>
      <c r="B3" s="3" t="s">
        <v>51</v>
      </c>
      <c r="C3" s="3" t="s">
        <v>51</v>
      </c>
      <c r="D3" s="3" t="s">
        <v>52</v>
      </c>
      <c r="E3" s="5" t="n">
        <f aca="false">SUM(G3:I3)</f>
        <v>0.6</v>
      </c>
      <c r="F3" s="3" t="str">
        <f aca="false">IF(E3=1,"Fully compliant – all sub-indicators met",IF(E3=0,"Non-compliant – critical failure","Partially compliant – some sub-indicators met"))</f>
        <v>Partially compliant – some sub-indicators met</v>
      </c>
      <c r="G3" s="9" t="n">
        <f aca="false">IF(UPPER(B3)="YES",0.2,0)</f>
        <v>0.2</v>
      </c>
      <c r="H3" s="9" t="n">
        <f aca="false">IF(UPPER(C3)="YES",0.4,0)</f>
        <v>0.4</v>
      </c>
      <c r="I3" s="9" t="n">
        <f aca="false">IF(UPPER(D3)="YES",0.4,0)</f>
        <v>0</v>
      </c>
    </row>
    <row r="4" customFormat="false" ht="42.75" hidden="false" customHeight="true" outlineLevel="0" collapsed="false">
      <c r="A4" s="3" t="n">
        <v>3</v>
      </c>
      <c r="B4" s="3" t="s">
        <v>51</v>
      </c>
      <c r="C4" s="3" t="s">
        <v>52</v>
      </c>
      <c r="D4" s="3" t="s">
        <v>52</v>
      </c>
      <c r="E4" s="5" t="n">
        <f aca="false">SUM(G4:I4)</f>
        <v>0.2</v>
      </c>
      <c r="F4" s="3" t="str">
        <f aca="false">IF(E4=1,"Fully compliant – all sub-indicators met",IF(E4=0,"Non-compliant – critical failure","Partially compliant – some sub-indicators met"))</f>
        <v>Partially compliant – some sub-indicators met</v>
      </c>
      <c r="G4" s="9" t="n">
        <f aca="false">IF(UPPER(B4)="YES",0.2,0)</f>
        <v>0.2</v>
      </c>
      <c r="H4" s="9" t="n">
        <f aca="false">IF(UPPER(C4)="YES",0.4,0)</f>
        <v>0</v>
      </c>
      <c r="I4" s="9" t="n">
        <f aca="false">IF(UPPER(D4)="YES",0.4,0)</f>
        <v>0</v>
      </c>
    </row>
    <row r="5" customFormat="false" ht="42.75" hidden="false" customHeight="true" outlineLevel="0" collapsed="false">
      <c r="A5" s="3" t="n">
        <v>4</v>
      </c>
      <c r="B5" s="3" t="s">
        <v>52</v>
      </c>
      <c r="C5" s="3" t="s">
        <v>52</v>
      </c>
      <c r="D5" s="3" t="s">
        <v>51</v>
      </c>
      <c r="E5" s="5" t="n">
        <f aca="false">SUM(G5:I5)</f>
        <v>0.4</v>
      </c>
      <c r="F5" s="3" t="str">
        <f aca="false">IF(E5=1,"Fully compliant – all sub-indicators met",IF(E5=0,"Non-compliant – critical failure","Partially compliant – some sub-indicators met"))</f>
        <v>Partially compliant – some sub-indicators met</v>
      </c>
      <c r="G5" s="9" t="n">
        <f aca="false">IF(UPPER(B5)="YES",0.2,0)</f>
        <v>0</v>
      </c>
      <c r="H5" s="9" t="n">
        <f aca="false">IF(UPPER(C5)="YES",0.4,0)</f>
        <v>0</v>
      </c>
      <c r="I5" s="9" t="n">
        <f aca="false">IF(UPPER(D5)="YES",0.4,0)</f>
        <v>0.4</v>
      </c>
    </row>
    <row r="6" customFormat="false" ht="42.75" hidden="false" customHeight="true" outlineLevel="0" collapsed="false">
      <c r="A6" s="3" t="n">
        <v>5</v>
      </c>
      <c r="B6" s="3" t="s">
        <v>51</v>
      </c>
      <c r="C6" s="3" t="s">
        <v>51</v>
      </c>
      <c r="D6" s="3" t="s">
        <v>52</v>
      </c>
      <c r="E6" s="5" t="n">
        <f aca="false">SUM(G6:I6)</f>
        <v>0.6</v>
      </c>
      <c r="F6" s="3" t="str">
        <f aca="false">IF(E6=1,"Fully compliant – all sub-indicators met",IF(E6=0,"Non-compliant – critical failure","Partially compliant – some sub-indicators met"))</f>
        <v>Partially compliant – some sub-indicators met</v>
      </c>
      <c r="G6" s="9" t="n">
        <f aca="false">IF(UPPER(B6)="YES",0.2,0)</f>
        <v>0.2</v>
      </c>
      <c r="H6" s="9" t="n">
        <f aca="false">IF(UPPER(C6)="YES",0.4,0)</f>
        <v>0.4</v>
      </c>
      <c r="I6" s="9" t="n">
        <f aca="false">IF(UPPER(D6)="YES",0.4,0)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12.66"/>
    <col collapsed="false" customWidth="true" hidden="false" outlineLevel="0" max="2" min="2" style="0" width="22.11"/>
    <col collapsed="false" customWidth="true" hidden="false" outlineLevel="0" max="3" min="3" style="0" width="19.44"/>
    <col collapsed="false" customWidth="true" hidden="false" outlineLevel="0" max="4" min="4" style="0" width="39.44"/>
    <col collapsed="false" customWidth="true" hidden="false" outlineLevel="0" max="5" min="5" style="0" width="33.44"/>
  </cols>
  <sheetData>
    <row r="1" customFormat="false" ht="15" hidden="false" customHeight="true" outlineLevel="0" collapsed="false">
      <c r="A1" s="10" t="s">
        <v>0</v>
      </c>
      <c r="B1" s="10" t="s">
        <v>53</v>
      </c>
      <c r="C1" s="10" t="s">
        <v>54</v>
      </c>
      <c r="D1" s="10" t="s">
        <v>31</v>
      </c>
      <c r="E1" s="10" t="s">
        <v>55</v>
      </c>
    </row>
    <row r="2" customFormat="false" ht="14.25" hidden="false" customHeight="true" outlineLevel="0" collapsed="false">
      <c r="A2" s="3" t="n">
        <v>1</v>
      </c>
      <c r="B2" s="3" t="n">
        <v>24</v>
      </c>
      <c r="C2" s="5" t="n">
        <f aca="false">IF(B2="","No data",IF(B2&gt;=24,1,IF(B2&lt;3,0,0.5+(B2-3)*0.5/21)))</f>
        <v>1</v>
      </c>
      <c r="D2" s="3" t="str">
        <f aca="false">IF(C2=1,"Full service continuity (1.00)",IF(C2=0,"Below minimum service level (0.00)","Partial continuity – linear between thresholds"))</f>
        <v>Full service continuity (1.00)</v>
      </c>
      <c r="E2" s="3"/>
    </row>
    <row r="3" customFormat="false" ht="14.25" hidden="false" customHeight="true" outlineLevel="0" collapsed="false">
      <c r="A3" s="3" t="n">
        <v>2</v>
      </c>
      <c r="B3" s="3" t="n">
        <v>3</v>
      </c>
      <c r="C3" s="5" t="n">
        <f aca="false">IF(B3="","No data",IF(B3&gt;=24,1,IF(B3&lt;3,0,0.5+(B3-3)*0.5/21)))</f>
        <v>0.5</v>
      </c>
      <c r="D3" s="3" t="str">
        <f aca="false">IF(C3=1,"Full service continuity (1.00)",IF(C3=0,"Below minimum service level (0.00)","Partial continuity – linear between thresholds"))</f>
        <v>Partial continuity – linear between thresholds</v>
      </c>
      <c r="E3" s="3"/>
    </row>
    <row r="4" customFormat="false" ht="14.25" hidden="false" customHeight="true" outlineLevel="0" collapsed="false">
      <c r="A4" s="3" t="n">
        <v>3</v>
      </c>
      <c r="B4" s="3" t="n">
        <v>8</v>
      </c>
      <c r="C4" s="5" t="n">
        <f aca="false">IF(B4="","No data",IF(B4&gt;=24,1,IF(B4&lt;3,0,0.5+(B4-3)*0.5/21)))</f>
        <v>0.619047619047619</v>
      </c>
      <c r="D4" s="3" t="str">
        <f aca="false">IF(C4=1,"Full service continuity (1.00)",IF(C4=0,"Below minimum service level (0.00)","Partial continuity – linear between thresholds"))</f>
        <v>Partial continuity – linear between thresholds</v>
      </c>
      <c r="E4" s="3"/>
    </row>
    <row r="5" customFormat="false" ht="14.25" hidden="false" customHeight="true" outlineLevel="0" collapsed="false">
      <c r="A5" s="3" t="n">
        <v>4</v>
      </c>
      <c r="B5" s="3" t="n">
        <v>2</v>
      </c>
      <c r="C5" s="5" t="n">
        <f aca="false">IF(B5="","No data",IF(B5&gt;=24,1,IF(B5&lt;3,0,0.5+(B5-3)*0.5/21)))</f>
        <v>0</v>
      </c>
      <c r="D5" s="3" t="str">
        <f aca="false">IF(C5=1,"Full service continuity (1.00)",IF(C5=0,"Below minimum service level (0.00)","Partial continuity – linear between thresholds"))</f>
        <v>Below minimum service level (0.00)</v>
      </c>
      <c r="E5" s="3"/>
    </row>
    <row r="6" customFormat="false" ht="14.25" hidden="false" customHeight="true" outlineLevel="0" collapsed="false">
      <c r="A6" s="3" t="n">
        <v>5</v>
      </c>
      <c r="B6" s="3" t="n">
        <v>12</v>
      </c>
      <c r="C6" s="5" t="n">
        <f aca="false">IF(B6="","No data",IF(B6&gt;=24,1,IF(B6&lt;3,0,0.5+(B6-3)*0.5/21)))</f>
        <v>0.714285714285714</v>
      </c>
      <c r="D6" s="3" t="str">
        <f aca="false">IF(C6=1,"Full service continuity (1.00)",IF(C6=0,"Below minimum service level (0.00)","Partial continuity – linear between thresholds"))</f>
        <v>Partial continuity – linear between thresholds</v>
      </c>
      <c r="E6" s="3"/>
    </row>
    <row r="12" customFormat="false" ht="14.25" hidden="false" customHeight="true" outlineLevel="0" collapsed="false">
      <c r="D12" s="11"/>
    </row>
    <row r="13" customFormat="false" ht="14.25" hidden="false" customHeight="true" outlineLevel="0" collapsed="false">
      <c r="D13" s="11"/>
    </row>
  </sheetData>
  <mergeCells count="1">
    <mergeCell ref="D12:D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10.66"/>
    <col collapsed="false" customWidth="true" hidden="false" outlineLevel="0" max="2" min="2" style="0" width="25.11"/>
    <col collapsed="false" customWidth="true" hidden="false" outlineLevel="0" max="3" min="3" style="12" width="43.44"/>
    <col collapsed="false" customWidth="true" hidden="false" outlineLevel="0" max="4" min="4" style="12" width="28.66"/>
    <col collapsed="false" customWidth="true" hidden="false" outlineLevel="0" max="5" min="5" style="12" width="30.56"/>
    <col collapsed="false" customWidth="true" hidden="false" outlineLevel="0" max="6" min="6" style="0" width="40.66"/>
    <col collapsed="false" customWidth="true" hidden="false" outlineLevel="0" max="7" min="7" style="0" width="16.55"/>
    <col collapsed="false" customWidth="true" hidden="false" outlineLevel="0" max="8" min="8" style="0" width="14.44"/>
  </cols>
  <sheetData>
    <row r="1" customFormat="false" ht="27.75" hidden="false" customHeight="true" outlineLevel="0" collapsed="false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31</v>
      </c>
    </row>
    <row r="2" customFormat="false" ht="23.25" hidden="false" customHeight="true" outlineLevel="0" collapsed="false">
      <c r="A2" s="3" t="n">
        <v>1</v>
      </c>
      <c r="B2" s="3" t="s">
        <v>51</v>
      </c>
      <c r="C2" s="3" t="s">
        <v>51</v>
      </c>
      <c r="D2" s="3" t="s">
        <v>51</v>
      </c>
      <c r="E2" s="3" t="s">
        <v>51</v>
      </c>
      <c r="F2" s="3" t="s">
        <v>51</v>
      </c>
      <c r="G2" s="5" t="n">
        <f aca="false">IF(UPPER(B2)&lt;&gt;"YES",0,IF(UPPER(C2)="YES",0.3,0)+IF(UPPER(D2)="YES",0.25,0)+IF(UPPER(E2)="YES",0.2,0)+IF(UPPER(F2)="YES",0.25,0))</f>
        <v>1</v>
      </c>
      <c r="H2" s="3" t="str">
        <f aca="false">IF(UPPER(B2)&lt;&gt;"YES","Non-compliant – logbook gate failed",IF(G2=1,"Fully compliant – all tiers achieved",IF(G2=0,"Non-compliant","Partially compliant")))</f>
        <v>Fully compliant – all tiers achieved</v>
      </c>
    </row>
    <row r="3" customFormat="false" ht="14.25" hidden="false" customHeight="true" outlineLevel="0" collapsed="false">
      <c r="A3" s="3" t="n">
        <v>2</v>
      </c>
      <c r="B3" s="3" t="s">
        <v>51</v>
      </c>
      <c r="C3" s="3" t="s">
        <v>51</v>
      </c>
      <c r="D3" s="3" t="s">
        <v>52</v>
      </c>
      <c r="E3" s="3" t="s">
        <v>52</v>
      </c>
      <c r="F3" s="3" t="s">
        <v>52</v>
      </c>
      <c r="G3" s="5" t="n">
        <f aca="false">IF(UPPER(B3)&lt;&gt;"YES",0,IF(UPPER(C3)="YES",0.3,0)+IF(UPPER(D3)="YES",0.25,0)+IF(UPPER(E3)="YES",0.2,0)+IF(UPPER(F3)="YES",0.25,0))</f>
        <v>0.3</v>
      </c>
      <c r="H3" s="3" t="str">
        <f aca="false">IF(UPPER(B3)&lt;&gt;"YES","Non-compliant – logbook gate failed",IF(G3=1,"Fully compliant – all tiers achieved",IF(G3=0,"Non-compliant","Partially compliant")))</f>
        <v>Partially compliant</v>
      </c>
    </row>
    <row r="4" customFormat="false" ht="14.25" hidden="false" customHeight="true" outlineLevel="0" collapsed="false">
      <c r="A4" s="3" t="n">
        <v>3</v>
      </c>
      <c r="B4" s="3" t="s">
        <v>51</v>
      </c>
      <c r="C4" s="3" t="s">
        <v>51</v>
      </c>
      <c r="D4" s="3" t="s">
        <v>51</v>
      </c>
      <c r="E4" s="3" t="s">
        <v>52</v>
      </c>
      <c r="F4" s="3" t="s">
        <v>52</v>
      </c>
      <c r="G4" s="5" t="n">
        <f aca="false">IF(UPPER(B4)&lt;&gt;"YES",0,IF(UPPER(C4)="YES",0.3,0)+IF(UPPER(D4)="YES",0.25,0)+IF(UPPER(E4)="YES",0.2,0)+IF(UPPER(F4)="YES",0.25,0))</f>
        <v>0.55</v>
      </c>
      <c r="H4" s="3" t="str">
        <f aca="false">IF(UPPER(B4)&lt;&gt;"YES","Non-compliant – logbook gate failed",IF(G4=1,"Fully compliant – all tiers achieved",IF(G4=0,"Non-compliant","Partially compliant")))</f>
        <v>Partially compliant</v>
      </c>
    </row>
    <row r="5" customFormat="false" ht="23.25" hidden="false" customHeight="true" outlineLevel="0" collapsed="false">
      <c r="A5" s="3" t="n">
        <v>4</v>
      </c>
      <c r="B5" s="3" t="s">
        <v>52</v>
      </c>
      <c r="C5" s="3" t="s">
        <v>52</v>
      </c>
      <c r="D5" s="3" t="s">
        <v>52</v>
      </c>
      <c r="E5" s="3" t="s">
        <v>52</v>
      </c>
      <c r="F5" s="3" t="s">
        <v>52</v>
      </c>
      <c r="G5" s="5" t="n">
        <f aca="false">IF(UPPER(B5)&lt;&gt;"YES",0,IF(UPPER(C5)="YES",0.3,0)+IF(UPPER(D5)="YES",0.25,0)+IF(UPPER(E5)="YES",0.2,0)+IF(UPPER(F5)="YES",0.25,0))</f>
        <v>0</v>
      </c>
      <c r="H5" s="3" t="str">
        <f aca="false">IF(UPPER(B5)&lt;&gt;"YES","Non-compliant – logbook gate failed",IF(G5=1,"Fully compliant – all tiers achieved",IF(G5=0,"Non-compliant","Partially compliant")))</f>
        <v>Non-compliant – logbook gate failed</v>
      </c>
    </row>
    <row r="6" customFormat="false" ht="14.25" hidden="false" customHeight="true" outlineLevel="0" collapsed="false">
      <c r="A6" s="3" t="n">
        <v>5</v>
      </c>
      <c r="B6" s="3" t="s">
        <v>51</v>
      </c>
      <c r="C6" s="3" t="s">
        <v>51</v>
      </c>
      <c r="D6" s="3" t="s">
        <v>51</v>
      </c>
      <c r="E6" s="3" t="s">
        <v>51</v>
      </c>
      <c r="F6" s="3" t="s">
        <v>52</v>
      </c>
      <c r="G6" s="5" t="n">
        <f aca="false">IF(UPPER(B6)&lt;&gt;"YES",0,IF(UPPER(C6)="YES",0.3,0)+IF(UPPER(D6)="YES",0.25,0)+IF(UPPER(E6)="YES",0.2,0)+IF(UPPER(F6)="YES",0.25,0))</f>
        <v>0.75</v>
      </c>
      <c r="H6" s="3" t="str">
        <f aca="false">IF(UPPER(B6)&lt;&gt;"YES","Non-compliant – logbook gate failed",IF(G6=1,"Fully compliant – all tiers achieved",IF(G6=0,"Non-compliant","Partially compliant")))</f>
        <v>Partially compliant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12.66"/>
    <col collapsed="false" customWidth="true" hidden="false" outlineLevel="0" max="2" min="2" style="0" width="20.44"/>
    <col collapsed="false" customWidth="true" hidden="false" outlineLevel="0" max="3" min="3" style="0" width="17.55"/>
    <col collapsed="false" customWidth="true" hidden="false" outlineLevel="0" max="4" min="4" style="0" width="25.89"/>
    <col collapsed="false" customWidth="true" hidden="false" outlineLevel="0" max="5" min="5" style="0" width="21.89"/>
    <col collapsed="false" customWidth="true" hidden="false" outlineLevel="0" max="6" min="6" style="0" width="45.89"/>
  </cols>
  <sheetData>
    <row r="1" customFormat="false" ht="15" hidden="false" customHeight="true" outlineLevel="0" collapsed="false">
      <c r="A1" s="13" t="s">
        <v>0</v>
      </c>
      <c r="B1" s="13" t="s">
        <v>62</v>
      </c>
      <c r="C1" s="13" t="s">
        <v>63</v>
      </c>
      <c r="D1" s="13" t="s">
        <v>64</v>
      </c>
      <c r="E1" s="13" t="s">
        <v>30</v>
      </c>
      <c r="F1" s="13" t="s">
        <v>31</v>
      </c>
    </row>
    <row r="2" customFormat="false" ht="14.25" hidden="false" customHeight="true" outlineLevel="0" collapsed="false">
      <c r="A2" s="3" t="n">
        <v>1</v>
      </c>
      <c r="B2" s="3" t="n">
        <v>24800</v>
      </c>
      <c r="C2" s="3" t="n">
        <v>40000</v>
      </c>
      <c r="D2" s="5" t="n">
        <f aca="false">IF(OR(B2=0,C2=0),"",B2/C2)</f>
        <v>0.62</v>
      </c>
      <c r="E2" s="5" t="n">
        <f aca="false">IF(D2="","",IF(D2&lt;=0.7,1,IF(D2&gt;=1.2,0,(1.2-D2)/0.5)))</f>
        <v>1</v>
      </c>
      <c r="F2" s="3" t="str">
        <f aca="false">IF(E2="","No data",IF(E2=1,"Fully compliant – strong financial sustainability",IF(E2=0,"Non-compliant – operating deficit","Partially compliant – declining toward breakeven/deficit")))</f>
        <v>Fully compliant – strong financial sustainability</v>
      </c>
    </row>
    <row r="3" customFormat="false" ht="14.25" hidden="false" customHeight="true" outlineLevel="0" collapsed="false">
      <c r="A3" s="3" t="n">
        <v>2</v>
      </c>
      <c r="B3" s="3" t="n">
        <v>27000</v>
      </c>
      <c r="C3" s="3" t="n">
        <v>30000</v>
      </c>
      <c r="D3" s="5" t="n">
        <f aca="false">IF(OR(B3=0,C3=0),"",B3/C3)</f>
        <v>0.9</v>
      </c>
      <c r="E3" s="5" t="n">
        <f aca="false">IF(D3="","",IF(D3&lt;=0.7,1,IF(D3&gt;=1.2,0,(1.2-D3)/0.5)))</f>
        <v>0.6</v>
      </c>
      <c r="F3" s="3" t="str">
        <f aca="false">IF(E3="","No data",IF(E3=1,"Fully compliant – strong financial sustainability",IF(E3=0,"Non-compliant – operating deficit","Partially compliant – declining toward breakeven/deficit")))</f>
        <v>Partially compliant – declining toward breakeven/deficit</v>
      </c>
    </row>
    <row r="4" customFormat="false" ht="14.25" hidden="false" customHeight="true" outlineLevel="0" collapsed="false">
      <c r="A4" s="3" t="n">
        <v>3</v>
      </c>
      <c r="B4" s="3" t="n">
        <v>16234</v>
      </c>
      <c r="C4" s="3" t="n">
        <v>17077</v>
      </c>
      <c r="D4" s="5" t="n">
        <f aca="false">IF(OR(B4=0,C4=0),"",B4/C4)</f>
        <v>0.95063535749839</v>
      </c>
      <c r="E4" s="5" t="n">
        <f aca="false">IF(D4="","",IF(D4&lt;=0.7,1,IF(D4&gt;=1.2,0,(1.2-D4)/0.5)))</f>
        <v>0.498729285003221</v>
      </c>
      <c r="F4" s="3" t="str">
        <f aca="false">IF(E4="","No data",IF(E4=1,"Fully compliant – strong financial sustainability",IF(E4=0,"Non-compliant – operating deficit","Partially compliant – declining toward breakeven/deficit")))</f>
        <v>Partially compliant – declining toward breakeven/deficit</v>
      </c>
    </row>
    <row r="5" customFormat="false" ht="14.25" hidden="false" customHeight="true" outlineLevel="0" collapsed="false">
      <c r="A5" s="3" t="n">
        <v>4</v>
      </c>
      <c r="B5" s="3" t="n">
        <v>7300</v>
      </c>
      <c r="C5" s="3" t="n">
        <v>3500</v>
      </c>
      <c r="D5" s="5" t="n">
        <f aca="false">IF(OR(B5=0,C5=0),"",B5/C5)</f>
        <v>2.08571428571429</v>
      </c>
      <c r="E5" s="5" t="n">
        <f aca="false">IF(D5="","",IF(D5&lt;=0.7,1,IF(D5&gt;=1.2,0,(1.2-D5)/0.5)))</f>
        <v>0</v>
      </c>
      <c r="F5" s="3" t="str">
        <f aca="false">IF(E5="","No data",IF(E5=1,"Fully compliant – strong financial sustainability",IF(E5=0,"Non-compliant – operating deficit","Partially compliant – declining toward breakeven/deficit")))</f>
        <v>Non-compliant – operating deficit</v>
      </c>
    </row>
    <row r="6" customFormat="false" ht="14.25" hidden="false" customHeight="true" outlineLevel="0" collapsed="false">
      <c r="A6" s="3" t="n">
        <v>5</v>
      </c>
      <c r="B6" s="3" t="n">
        <v>24000</v>
      </c>
      <c r="C6" s="3" t="n">
        <v>30000</v>
      </c>
      <c r="D6" s="5" t="n">
        <f aca="false">IF(OR(B6=0,C6=0),"",B6/C6)</f>
        <v>0.8</v>
      </c>
      <c r="E6" s="5" t="n">
        <f aca="false">IF(D6="","",IF(D6&lt;=0.7,1,IF(D6&gt;=1.2,0,(1.2-D6)/0.5)))</f>
        <v>0.8</v>
      </c>
      <c r="F6" s="3" t="str">
        <f aca="false">IF(E6="","No data",IF(E6=1,"Fully compliant – strong financial sustainability",IF(E6=0,"Non-compliant – operating deficit","Partially compliant – declining toward breakeven/deficit")))</f>
        <v>Partially compliant – declining toward breakeven/deficit</v>
      </c>
    </row>
    <row r="7" customFormat="false" ht="14.25" hidden="false" customHeight="true" outlineLevel="0" collapsed="false">
      <c r="D7" s="0" t="str">
        <f aca="false">IF(OR(B7=0,C7=0),"",B7/C7)</f>
        <v/>
      </c>
      <c r="E7" s="0" t="str">
        <f aca="false">IF(D7="","",IF(D7&lt;=0.7,1,IF(D7&gt;=1.2,0,(1.2-D7)/0.5)))</f>
        <v/>
      </c>
      <c r="F7" s="0" t="str">
        <f aca="false">IF(E7="","No data",
IF(E7=1,"Fully compliant – strong financial sustainability",
IF(E7=0,"Non-compliant – operating deficit",
"Partially compliant – declining toward breakeven/deficit")))</f>
        <v>No data</v>
      </c>
    </row>
    <row r="8" customFormat="false" ht="14.25" hidden="false" customHeight="true" outlineLevel="0" collapsed="false">
      <c r="D8" s="0" t="str">
        <f aca="false">IF(OR(B8=0,C8=0),"",B8/C8)</f>
        <v/>
      </c>
      <c r="E8" s="0" t="str">
        <f aca="false">IF(D8="","",IF(D8&lt;=0.7,1,IF(D8&gt;=1.2,0,(1.2-D8)/0.5)))</f>
        <v/>
      </c>
      <c r="F8" s="0" t="str">
        <f aca="false">IF(E8="","No data",
IF(E8=1,"Fully compliant – strong financial sustainability",
IF(E8=0,"Non-compliant – operating deficit",
"Partially compliant – declining toward breakeven/deficit")))</f>
        <v>No data</v>
      </c>
    </row>
    <row r="9" customFormat="false" ht="14.25" hidden="false" customHeight="true" outlineLevel="0" collapsed="false">
      <c r="D9" s="0" t="str">
        <f aca="false">IF(OR(B9=0,C9=0),"",B9/C9)</f>
        <v/>
      </c>
      <c r="E9" s="0" t="str">
        <f aca="false">IF(D9="","",IF(D9&lt;=0.7,1,IF(D9&gt;=1.2,0,(1.2-D9)/0.5)))</f>
        <v/>
      </c>
      <c r="F9" s="0" t="str">
        <f aca="false">IF(E9="","No data",
IF(E9=1,"Fully compliant – strong financial sustainability",
IF(E9=0,"Non-compliant – operating deficit",
"Partially compliant – declining toward breakeven/deficit")))</f>
        <v>No data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12.66"/>
    <col collapsed="false" customWidth="true" hidden="false" outlineLevel="0" max="2" min="2" style="0" width="34.34"/>
    <col collapsed="false" customWidth="true" hidden="false" outlineLevel="0" max="3" min="3" style="0" width="29.66"/>
    <col collapsed="false" customWidth="true" hidden="false" outlineLevel="0" max="4" min="4" style="0" width="17.55"/>
    <col collapsed="false" customWidth="true" hidden="false" outlineLevel="0" max="5" min="5" style="0" width="23.21"/>
    <col collapsed="false" customWidth="true" hidden="false" outlineLevel="0" max="6" min="6" style="0" width="26.33"/>
  </cols>
  <sheetData>
    <row r="1" customFormat="false" ht="15" hidden="false" customHeight="true" outlineLevel="0" collapsed="false">
      <c r="A1" s="14" t="s">
        <v>0</v>
      </c>
      <c r="B1" s="14" t="s">
        <v>65</v>
      </c>
      <c r="C1" s="14" t="s">
        <v>66</v>
      </c>
      <c r="D1" s="14" t="s">
        <v>67</v>
      </c>
      <c r="E1" s="14" t="s">
        <v>30</v>
      </c>
      <c r="F1" s="14" t="s">
        <v>31</v>
      </c>
    </row>
    <row r="2" customFormat="false" ht="28.5" hidden="false" customHeight="true" outlineLevel="0" collapsed="false">
      <c r="A2" s="3" t="n">
        <v>1</v>
      </c>
      <c r="B2" s="3" t="n">
        <v>15016</v>
      </c>
      <c r="C2" s="3" t="n">
        <v>15016</v>
      </c>
      <c r="D2" s="4" t="n">
        <f aca="false">IF(OR(B2=0,C2=0),"",B2/C2*100)</f>
        <v>100</v>
      </c>
      <c r="E2" s="5" t="n">
        <f aca="false">IF(D2="","",IF(D2&gt;=100,1,IF(D2&lt;=60,0,(D2-60)/40)))</f>
        <v>1</v>
      </c>
      <c r="F2" s="3" t="str">
        <f aca="false">IF(E2="","No data",IF(E2=1,"Fully compliant – universal functional metering achieved",IF(E2=0,"Non-compliant – below minimum threshold","Partially compliant – coverage improving toward full")))</f>
        <v>Fully compliant – universal functional metering achieved</v>
      </c>
    </row>
    <row r="3" customFormat="false" ht="14.25" hidden="false" customHeight="true" outlineLevel="0" collapsed="false">
      <c r="A3" s="3" t="n">
        <v>2</v>
      </c>
      <c r="B3" s="3" t="n">
        <v>400</v>
      </c>
      <c r="C3" s="3" t="n">
        <v>1200</v>
      </c>
      <c r="D3" s="4" t="n">
        <f aca="false">IF(OR(B3=0,C3=0),"",B3/C3*100)</f>
        <v>33.3333333333333</v>
      </c>
      <c r="E3" s="5" t="n">
        <f aca="false">IF(D3="","",IF(D3&gt;=100,1,IF(D3&lt;=60,0,(D3-60)/40)))</f>
        <v>0</v>
      </c>
      <c r="F3" s="3" t="str">
        <f aca="false">IF(E3="","No data",IF(E3=1,"Fully compliant – universal functional metering achieved",IF(E3=0,"Non-compliant – below minimum threshold","Partially compliant – coverage improving toward full")))</f>
        <v>Non-compliant – below minimum threshold</v>
      </c>
    </row>
    <row r="4" customFormat="false" ht="28.5" hidden="false" customHeight="true" outlineLevel="0" collapsed="false">
      <c r="A4" s="3" t="n">
        <v>3</v>
      </c>
      <c r="B4" s="3" t="n">
        <v>2065</v>
      </c>
      <c r="C4" s="3" t="n">
        <v>2085</v>
      </c>
      <c r="D4" s="4" t="n">
        <f aca="false">IF(OR(B4=0,C4=0),"",B4/C4*100)</f>
        <v>99.0407673860911</v>
      </c>
      <c r="E4" s="5" t="n">
        <f aca="false">IF(D4="","",IF(D4&gt;=100,1,IF(D4&lt;=60,0,(D4-60)/40)))</f>
        <v>0.976019184652278</v>
      </c>
      <c r="F4" s="3" t="str">
        <f aca="false">IF(E4="","No data",IF(E4=1,"Fully compliant – universal functional metering achieved",IF(E4=0,"Non-compliant – below minimum threshold","Partially compliant – coverage improving toward full")))</f>
        <v>Partially compliant – coverage improving toward full</v>
      </c>
    </row>
    <row r="5" customFormat="false" ht="28.5" hidden="false" customHeight="true" outlineLevel="0" collapsed="false">
      <c r="A5" s="3" t="n">
        <v>4</v>
      </c>
      <c r="B5" s="3" t="n">
        <v>924</v>
      </c>
      <c r="C5" s="3" t="n">
        <v>1100</v>
      </c>
      <c r="D5" s="4" t="n">
        <f aca="false">IF(OR(B5=0,C5=0),"",B5/C5*100)</f>
        <v>84</v>
      </c>
      <c r="E5" s="5" t="n">
        <f aca="false">IF(D5="","",IF(D5&gt;=100,1,IF(D5&lt;=60,0,(D5-60)/40)))</f>
        <v>0.6</v>
      </c>
      <c r="F5" s="3" t="str">
        <f aca="false">IF(E5="","No data",IF(E5=1,"Fully compliant – universal functional metering achieved",IF(E5=0,"Non-compliant – below minimum threshold","Partially compliant – coverage improving toward full")))</f>
        <v>Partially compliant – coverage improving toward full</v>
      </c>
    </row>
    <row r="6" customFormat="false" ht="23.25" hidden="false" customHeight="true" outlineLevel="0" collapsed="false">
      <c r="A6" s="3" t="n">
        <v>5</v>
      </c>
      <c r="B6" s="3" t="n">
        <v>1104</v>
      </c>
      <c r="C6" s="3" t="n">
        <v>1200</v>
      </c>
      <c r="D6" s="4" t="n">
        <f aca="false">IF(OR(B6=0,C6=0),"",B6/C6*100)</f>
        <v>92</v>
      </c>
      <c r="E6" s="5" t="n">
        <f aca="false">IF(D6="","",IF(D6&gt;=100,1,IF(D6&lt;=60,0,(D6-60)/40)))</f>
        <v>0.8</v>
      </c>
      <c r="F6" s="3" t="str">
        <f aca="false">IF(E6="","No data",IF(E6=1,"Fully compliant – universal functional metering achieved",IF(E6=0,"Non-compliant – below minimum threshold","Partially compliant – coverage improving toward full")))</f>
        <v>Partially compliant – coverage improving toward full</v>
      </c>
    </row>
    <row r="7" customFormat="false" ht="14.25" hidden="false" customHeight="true" outlineLevel="0" collapsed="false">
      <c r="D7" s="0" t="str">
        <f aca="false">IF(OR(B7=0,C7=0),"",B7/C7*100)</f>
        <v/>
      </c>
      <c r="E7" s="0" t="str">
        <f aca="false">IF(D7="","",IF(D7&gt;=100,1,IF(D7&lt;=60,0,(D7-60)/40)))</f>
        <v/>
      </c>
      <c r="F7" s="12" t="str">
        <f aca="false">IF(E7="","No data",
IF(E7=1,"Fully compliant – universal functional metering achieved",
IF(E7=0,"Non-compliant – below minimum threshold",
"Partially compliant – coverage improving toward full")))</f>
        <v>No data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10.66"/>
    <col collapsed="false" customWidth="true" hidden="false" outlineLevel="0" max="2" min="2" style="0" width="21.55"/>
    <col collapsed="false" customWidth="true" hidden="false" outlineLevel="0" max="3" min="3" style="0" width="28.33"/>
    <col collapsed="false" customWidth="true" hidden="false" outlineLevel="0" max="4" min="4" style="0" width="17.89"/>
    <col collapsed="false" customWidth="true" hidden="false" outlineLevel="0" max="5" min="5" style="0" width="49.89"/>
  </cols>
  <sheetData>
    <row r="1" customFormat="false" ht="14.25" hidden="false" customHeight="true" outlineLevel="0" collapsed="false">
      <c r="A1" s="1" t="s">
        <v>0</v>
      </c>
      <c r="B1" s="1" t="s">
        <v>68</v>
      </c>
      <c r="C1" s="1" t="s">
        <v>69</v>
      </c>
      <c r="D1" s="1" t="s">
        <v>40</v>
      </c>
      <c r="E1" s="1" t="s">
        <v>31</v>
      </c>
    </row>
    <row r="2" customFormat="false" ht="14.25" hidden="false" customHeight="true" outlineLevel="0" collapsed="false">
      <c r="A2" s="3" t="n">
        <v>1</v>
      </c>
      <c r="B2" s="3" t="s">
        <v>51</v>
      </c>
      <c r="C2" s="3" t="s">
        <v>51</v>
      </c>
      <c r="D2" s="15" t="n">
        <f aca="false">IF(OR(B2="",C2=""),"No data",IF(UPPER(B2)="YES",IF(UPPER(C2)="YES",1,0),0))</f>
        <v>1</v>
      </c>
      <c r="E2" s="3" t="str">
        <f aca="false">IF(D2="No data","No data entered",IF(UPPER(B2)&lt;&gt;"YES","NON-COMPLIANT – No log book maintained (score forced to 0)",IF(D2=1,"Fully compliant – grievance redressal mechanism exists and log book maintained","Non-compliant – grievance redressal mechanism missing")))</f>
        <v>Fully compliant – grievance redressal mechanism exists and log book maintained</v>
      </c>
    </row>
    <row r="3" customFormat="false" ht="14.25" hidden="false" customHeight="true" outlineLevel="0" collapsed="false">
      <c r="A3" s="3" t="n">
        <v>2</v>
      </c>
      <c r="B3" s="3" t="s">
        <v>52</v>
      </c>
      <c r="C3" s="3" t="s">
        <v>51</v>
      </c>
      <c r="D3" s="15" t="n">
        <f aca="false">IF(OR(B3="",C3=""),"No data",IF(UPPER(B3)="YES",IF(UPPER(C3)="YES",1,0),0))</f>
        <v>0</v>
      </c>
      <c r="E3" s="3" t="str">
        <f aca="false">IF(D3="No data","No data entered",IF(UPPER(B3)&lt;&gt;"YES","NON-COMPLIANT – No log book maintained (score forced to 0)",IF(D3=1,"Fully compliant – grievance redressal mechanism exists and log book maintained","Non-compliant – grievance redressal mechanism missing")))</f>
        <v>NON-COMPLIANT – No log book maintained (score forced to 0)</v>
      </c>
    </row>
    <row r="4" customFormat="false" ht="14.25" hidden="false" customHeight="true" outlineLevel="0" collapsed="false">
      <c r="A4" s="3" t="n">
        <v>3</v>
      </c>
      <c r="B4" s="3" t="s">
        <v>51</v>
      </c>
      <c r="C4" s="3" t="s">
        <v>51</v>
      </c>
      <c r="D4" s="15" t="n">
        <f aca="false">IF(OR(B4="",C4=""),"No data",IF(UPPER(B4)="YES",IF(UPPER(C4)="YES",1,0),0))</f>
        <v>1</v>
      </c>
      <c r="E4" s="3" t="str">
        <f aca="false">IF(D4="No data","No data entered",IF(UPPER(B4)&lt;&gt;"YES","NON-COMPLIANT – No log book maintained (score forced to 0)",IF(D4=1,"Fully compliant – grievance redressal mechanism exists and log book maintained","Non-compliant – grievance redressal mechanism missing")))</f>
        <v>Fully compliant – grievance redressal mechanism exists and log book maintained</v>
      </c>
    </row>
    <row r="5" customFormat="false" ht="14.25" hidden="false" customHeight="true" outlineLevel="0" collapsed="false">
      <c r="A5" s="3" t="n">
        <v>4</v>
      </c>
      <c r="B5" s="3" t="s">
        <v>52</v>
      </c>
      <c r="C5" s="3" t="s">
        <v>52</v>
      </c>
      <c r="D5" s="15" t="n">
        <f aca="false">IF(OR(B5="",C5=""),"No data",IF(UPPER(B5)="YES",IF(UPPER(C5)="YES",1,0),0))</f>
        <v>0</v>
      </c>
      <c r="E5" s="3" t="str">
        <f aca="false">IF(D5="No data","No data entered",IF(UPPER(B5)&lt;&gt;"YES","NON-COMPLIANT – No log book maintained (score forced to 0)",IF(D5=1,"Fully compliant – grievance redressal mechanism exists and log book maintained","Non-compliant – grievance redressal mechanism missing")))</f>
        <v>NON-COMPLIANT – No log book maintained (score forced to 0)</v>
      </c>
    </row>
    <row r="6" customFormat="false" ht="14.25" hidden="false" customHeight="true" outlineLevel="0" collapsed="false">
      <c r="A6" s="3" t="n">
        <v>5</v>
      </c>
      <c r="B6" s="3" t="s">
        <v>51</v>
      </c>
      <c r="C6" s="3" t="s">
        <v>51</v>
      </c>
      <c r="D6" s="15" t="n">
        <f aca="false">IF(OR(B6="",C6=""),"No data",IF(UPPER(B6)="YES",IF(UPPER(C6)="YES",1,0),0))</f>
        <v>1</v>
      </c>
      <c r="E6" s="3" t="str">
        <f aca="false">IF(D6="No data","No data entered",IF(UPPER(B6)&lt;&gt;"YES","NON-COMPLIANT – No log book maintained (score forced to 0)",IF(D6=1,"Fully compliant – grievance redressal mechanism exists and log book maintained","Non-compliant – grievance redressal mechanism missing")))</f>
        <v>Fully compliant – grievance redressal mechanism exists and log book maintained</v>
      </c>
    </row>
    <row r="7" customFormat="false" ht="14.25" hidden="false" customHeight="true" outlineLevel="0" collapsed="false">
      <c r="D7" s="0" t="str">
        <f aca="false">IF(OR(B7="",C7=""),"No data",IF(UPPER(B7)="YES",IF(UPPER(C7)="YES",1,0),0))</f>
        <v>No data</v>
      </c>
      <c r="E7" s="0" t="str">
        <f aca="false">IF(D7="No data","No data entered",
IF(B7&lt;&gt;"Yes",
"NON-COMPLIANT – No log book maintained (score forced to 0)",
IF(D7=1,
"Fully compliant – grievance redressal mechanism exists and log book maintained",
"Non-compliant – grievance redressal mechanism missing")))</f>
        <v>No data entered</v>
      </c>
    </row>
  </sheetData>
  <dataValidations count="1">
    <dataValidation allowBlank="true" error="Please select Yes or No from the dropdown only." errorStyle="stop" errorTitle="Invalid Entry" operator="between" prompt="Select Yes only if there is evidence of a maintained log book (complaints recorded and actions taken)." promptTitle="Log Book Mechanism Check" showDropDown="false" showErrorMessage="true" showInputMessage="true" sqref="B1:B1007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7"/>
    <col collapsed="false" customWidth="true" hidden="false" outlineLevel="0" max="13" min="4" style="0" width="12"/>
    <col collapsed="false" customWidth="true" hidden="false" outlineLevel="0" max="14" min="14" style="0" width="30"/>
    <col collapsed="false" customWidth="true" hidden="false" outlineLevel="0" max="15" min="15" style="0" width="28"/>
  </cols>
  <sheetData>
    <row r="1" customFormat="false" ht="39.75" hidden="false" customHeight="true" outlineLevel="0" collapsed="false">
      <c r="A1" s="16" t="s">
        <v>0</v>
      </c>
      <c r="B1" s="17" t="s">
        <v>1</v>
      </c>
      <c r="C1" s="17" t="s">
        <v>70</v>
      </c>
      <c r="D1" s="17" t="s">
        <v>71</v>
      </c>
      <c r="E1" s="17" t="s">
        <v>72</v>
      </c>
      <c r="F1" s="17" t="s">
        <v>73</v>
      </c>
      <c r="G1" s="17" t="s">
        <v>74</v>
      </c>
      <c r="H1" s="17" t="s">
        <v>75</v>
      </c>
      <c r="I1" s="17" t="s">
        <v>76</v>
      </c>
      <c r="J1" s="17" t="s">
        <v>77</v>
      </c>
      <c r="K1" s="17" t="s">
        <v>78</v>
      </c>
      <c r="L1" s="17" t="s">
        <v>79</v>
      </c>
      <c r="M1" s="17" t="s">
        <v>80</v>
      </c>
      <c r="N1" s="17" t="s">
        <v>81</v>
      </c>
      <c r="O1" s="17" t="s">
        <v>82</v>
      </c>
    </row>
    <row r="2" customFormat="false" ht="15" hidden="false" customHeight="true" outlineLevel="0" collapsed="false">
      <c r="A2" s="18" t="n">
        <v>1</v>
      </c>
      <c r="B2" s="18" t="str">
        <f aca="false">Spatial!B2</f>
        <v>WSUC_A</v>
      </c>
      <c r="C2" s="19" t="n">
        <f aca="false">IFERROR('Service Coverage'!F2,0)</f>
        <v>1</v>
      </c>
      <c r="D2" s="19" t="n">
        <f aca="false">IFERROR(Adequacy!I2,0)</f>
        <v>1</v>
      </c>
      <c r="E2" s="19" t="n">
        <f aca="false">IFERROR('Water Quality Score'!E2,0)</f>
        <v>1</v>
      </c>
      <c r="F2" s="19" t="n">
        <f aca="false">IFERROR('Reliability score'!C2,0)</f>
        <v>1</v>
      </c>
      <c r="G2" s="19" t="n">
        <f aca="false">IFERROR(NRW!G2,0)</f>
        <v>1</v>
      </c>
      <c r="H2" s="19" t="n">
        <f aca="false">IFERROR('O&amp;M score'!E2,0)</f>
        <v>1</v>
      </c>
      <c r="I2" s="19" t="n">
        <f aca="false">IFERROR('Metering Ratio Score'!E2,0)</f>
        <v>1</v>
      </c>
      <c r="J2" s="19" t="n">
        <f aca="false">IF(OR(IFERROR('Grievance Addressal'!D2,"")="No data",IFERROR('Grievance Addressal'!D2,"")=""),0,IFERROR('Grievance Addressal'!D2,0))</f>
        <v>1</v>
      </c>
      <c r="K2" s="19" t="n">
        <f aca="false">0.35*IF(ISNUMBER(E2),E2,0)+0.25*IF(ISNUMBER(C2),C2,0)+0.2*IF(ISNUMBER(D2),D2,0)+0.2*IF(ISNUMBER(F2),F2,0)</f>
        <v>1</v>
      </c>
      <c r="L2" s="19" t="n">
        <f aca="false">0.3*IF(ISNUMBER(G2),G2,0)+0.25*IF(ISNUMBER(J2),J2,0)+0.25*IF(ISNUMBER(H2),H2,0)+0.2*IF(ISNUMBER(I2),I2,0)</f>
        <v>1</v>
      </c>
      <c r="M2" s="20" t="n">
        <f aca="false">(K2+L2)/2*100</f>
        <v>100</v>
      </c>
      <c r="N2" s="18" t="str">
        <f aca="false">IF(M2&gt;=95,"Efficient – Highly Efficient",IF(M2&gt;=90,"Efficient – Moderately Efficient",IF(M2&gt;=80,"Improving – Improved",IF(M2&gt;=60,"Improving – Improving",IF(M2&gt;=40,"Functioning – Active",IF(M2&gt;=20,"Functioning – Inactive / Poor","Functioning – Very Poor / Urgent Intervention"))))))</f>
        <v>Efficient – Highly Efficient</v>
      </c>
      <c r="O2" s="18" t="str">
        <f aca="false">IF(AND(K2&gt;=0.6,L2&gt;=0.6),"Type A – Resilient",IF(AND(K2&gt;=0.6,L2&lt;0.6),"Type B – High SPI / Low OEI",IF(AND(K2&lt;0.6,L2&gt;=0.6),"Type C – Low SPI / High OEI","Type D – Structurally Vulnerable")))</f>
        <v>Type A – Resilient</v>
      </c>
    </row>
    <row r="3" customFormat="false" ht="15" hidden="false" customHeight="true" outlineLevel="0" collapsed="false">
      <c r="A3" s="18" t="n">
        <v>2</v>
      </c>
      <c r="B3" s="18" t="str">
        <f aca="false">Spatial!B3</f>
        <v>WSUC_B</v>
      </c>
      <c r="C3" s="19" t="n">
        <f aca="false">IFERROR('Service Coverage'!F3,0)</f>
        <v>0.7</v>
      </c>
      <c r="D3" s="19" t="n">
        <f aca="false">IFERROR(Adequacy!I3,0)</f>
        <v>0.545454545454545</v>
      </c>
      <c r="E3" s="19" t="n">
        <f aca="false">IFERROR('Water Quality Score'!E3,0)</f>
        <v>0.6</v>
      </c>
      <c r="F3" s="19" t="n">
        <f aca="false">IFERROR('Reliability score'!C3,0)</f>
        <v>0.5</v>
      </c>
      <c r="G3" s="19" t="n">
        <f aca="false">IFERROR(NRW!G3,0)</f>
        <v>0.3</v>
      </c>
      <c r="H3" s="19" t="n">
        <f aca="false">IFERROR('O&amp;M score'!E3,0)</f>
        <v>0.6</v>
      </c>
      <c r="I3" s="19" t="n">
        <f aca="false">IFERROR('Metering Ratio Score'!E3,0)</f>
        <v>0</v>
      </c>
      <c r="J3" s="19" t="n">
        <f aca="false">IF(OR(IFERROR('Grievance Addressal'!D3,"")="No data",IFERROR('Grievance Addressal'!D3,"")=""),0,IFERROR('Grievance Addressal'!D3,0))</f>
        <v>0</v>
      </c>
      <c r="K3" s="19" t="n">
        <f aca="false">0.35*IF(ISNUMBER(E3),E3,0)+0.25*IF(ISNUMBER(C3),C3,0)+0.2*IF(ISNUMBER(D3),D3,0)+0.2*IF(ISNUMBER(F3),F3,0)</f>
        <v>0.594090909090909</v>
      </c>
      <c r="L3" s="19" t="n">
        <f aca="false">0.3*IF(ISNUMBER(G3),G3,0)+0.25*IF(ISNUMBER(J3),J3,0)+0.25*IF(ISNUMBER(H3),H3,0)+0.2*IF(ISNUMBER(I3),I3,0)</f>
        <v>0.24</v>
      </c>
      <c r="M3" s="20" t="n">
        <f aca="false">(K3+L3)/2*100</f>
        <v>41.7045454545455</v>
      </c>
      <c r="N3" s="18" t="str">
        <f aca="false">IF(M3&gt;=95,"Efficient – Highly Efficient",IF(M3&gt;=90,"Efficient – Moderately Efficient",IF(M3&gt;=80,"Improving – Improved",IF(M3&gt;=60,"Improving – Improving",IF(M3&gt;=40,"Functioning – Active",IF(M3&gt;=20,"Functioning – Inactive / Poor","Functioning – Very Poor / Urgent Intervention"))))))</f>
        <v>Functioning – Active</v>
      </c>
      <c r="O3" s="18" t="str">
        <f aca="false">IF(AND(K3&gt;=0.6,L3&gt;=0.6),"Type A – Resilient",IF(AND(K3&gt;=0.6,L3&lt;0.6),"Type B – High SPI / Low OEI",IF(AND(K3&lt;0.6,L3&gt;=0.6),"Type C – Low SPI / High OEI","Type D – Structurally Vulnerable")))</f>
        <v>Type D – Structurally Vulnerable</v>
      </c>
    </row>
    <row r="4" customFormat="false" ht="15" hidden="false" customHeight="true" outlineLevel="0" collapsed="false">
      <c r="A4" s="18" t="n">
        <v>3</v>
      </c>
      <c r="B4" s="18" t="str">
        <f aca="false">Spatial!B4</f>
        <v>WSUC_C</v>
      </c>
      <c r="C4" s="19" t="n">
        <f aca="false">IFERROR('Service Coverage'!F4,0)</f>
        <v>0.4</v>
      </c>
      <c r="D4" s="19" t="n">
        <f aca="false">IFERROR(Adequacy!I4,0)</f>
        <v>0.166666666666667</v>
      </c>
      <c r="E4" s="19" t="n">
        <f aca="false">IFERROR('Water Quality Score'!E4,0)</f>
        <v>0.2</v>
      </c>
      <c r="F4" s="19" t="n">
        <f aca="false">IFERROR('Reliability score'!C4,0)</f>
        <v>0.619047619047619</v>
      </c>
      <c r="G4" s="19" t="n">
        <f aca="false">IFERROR(NRW!G4,0)</f>
        <v>0.55</v>
      </c>
      <c r="H4" s="19" t="n">
        <f aca="false">IFERROR('O&amp;M score'!E4,0)</f>
        <v>0.498729285003221</v>
      </c>
      <c r="I4" s="19" t="n">
        <f aca="false">IFERROR('Metering Ratio Score'!E4,0)</f>
        <v>0.976019184652278</v>
      </c>
      <c r="J4" s="19" t="n">
        <f aca="false">IF(OR(IFERROR('Grievance Addressal'!D4,"")="No data",IFERROR('Grievance Addressal'!D4,"")=""),0,IFERROR('Grievance Addressal'!D4,0))</f>
        <v>1</v>
      </c>
      <c r="K4" s="19" t="n">
        <f aca="false">0.35*IF(ISNUMBER(E4),E4,0)+0.25*IF(ISNUMBER(C4),C4,0)+0.2*IF(ISNUMBER(D4),D4,0)+0.2*IF(ISNUMBER(F4),F4,0)</f>
        <v>0.327142857142857</v>
      </c>
      <c r="L4" s="19" t="n">
        <f aca="false">0.3*IF(ISNUMBER(G4),G4,0)+0.25*IF(ISNUMBER(J4),J4,0)+0.25*IF(ISNUMBER(H4),H4,0)+0.2*IF(ISNUMBER(I4),I4,0)</f>
        <v>0.734886158181261</v>
      </c>
      <c r="M4" s="20" t="n">
        <f aca="false">(K4+L4)/2*100</f>
        <v>53.1014507662059</v>
      </c>
      <c r="N4" s="18" t="str">
        <f aca="false">IF(M4&gt;=95,"Efficient – Highly Efficient",IF(M4&gt;=90,"Efficient – Moderately Efficient",IF(M4&gt;=80,"Improving – Improved",IF(M4&gt;=60,"Improving – Improving",IF(M4&gt;=40,"Functioning – Active",IF(M4&gt;=20,"Functioning – Inactive / Poor","Functioning – Very Poor / Urgent Intervention"))))))</f>
        <v>Functioning – Active</v>
      </c>
      <c r="O4" s="18" t="str">
        <f aca="false">IF(AND(K4&gt;=0.6,L4&gt;=0.6),"Type A – Resilient",IF(AND(K4&gt;=0.6,L4&lt;0.6),"Type B – High SPI / Low OEI",IF(AND(K4&lt;0.6,L4&gt;=0.6),"Type C – Low SPI / High OEI","Type D – Structurally Vulnerable")))</f>
        <v>Type C – Low SPI / High OEI</v>
      </c>
    </row>
    <row r="5" customFormat="false" ht="20.25" hidden="false" customHeight="true" outlineLevel="0" collapsed="false">
      <c r="A5" s="18" t="n">
        <v>4</v>
      </c>
      <c r="B5" s="18" t="str">
        <f aca="false">Spatial!B5</f>
        <v>WSUC_D</v>
      </c>
      <c r="C5" s="19" t="n">
        <f aca="false">IFERROR('Service Coverage'!F5,0)</f>
        <v>0</v>
      </c>
      <c r="D5" s="19" t="n">
        <f aca="false">IFERROR(Adequacy!I5,0)</f>
        <v>0.533733333333333</v>
      </c>
      <c r="E5" s="19" t="n">
        <f aca="false">IFERROR('Water Quality Score'!E5,0)</f>
        <v>0.4</v>
      </c>
      <c r="F5" s="19" t="n">
        <f aca="false">IFERROR('Reliability score'!C5,0)</f>
        <v>0</v>
      </c>
      <c r="G5" s="19" t="n">
        <f aca="false">IFERROR(NRW!G5,0)</f>
        <v>0</v>
      </c>
      <c r="H5" s="19" t="n">
        <f aca="false">IFERROR('O&amp;M score'!E5,0)</f>
        <v>0</v>
      </c>
      <c r="I5" s="19" t="n">
        <f aca="false">IFERROR('Metering Ratio Score'!E5,0)</f>
        <v>0.6</v>
      </c>
      <c r="J5" s="19" t="n">
        <f aca="false">IF(OR(IFERROR('Grievance Addressal'!D5,"")="No data",IFERROR('Grievance Addressal'!D5,"")=""),0,IFERROR('Grievance Addressal'!D5,0))</f>
        <v>0</v>
      </c>
      <c r="K5" s="19" t="n">
        <f aca="false">0.35*IF(ISNUMBER(E5),E5,0)+0.25*IF(ISNUMBER(C5),C5,0)+0.2*IF(ISNUMBER(D5),D5,0)+0.2*IF(ISNUMBER(F5),F5,0)</f>
        <v>0.246746666666667</v>
      </c>
      <c r="L5" s="19" t="n">
        <f aca="false">0.3*IF(ISNUMBER(G5),G5,0)+0.25*IF(ISNUMBER(J5),J5,0)+0.25*IF(ISNUMBER(H5),H5,0)+0.2*IF(ISNUMBER(I5),I5,0)</f>
        <v>0.12</v>
      </c>
      <c r="M5" s="20" t="n">
        <f aca="false">(K5+L5)/2*100</f>
        <v>18.3373333333333</v>
      </c>
      <c r="N5" s="18" t="str">
        <f aca="false">IF(M5&gt;=95,"Efficient – Highly Efficient",IF(M5&gt;=90,"Efficient – Moderately Efficient",IF(M5&gt;=80,"Improving – Improved",IF(M5&gt;=60,"Improving – Improving",IF(M5&gt;=40,"Functioning – Active",IF(M5&gt;=20,"Functioning – Inactive / Poor","Functioning – Very Poor / Urgent Intervention"))))))</f>
        <v>Functioning – Very Poor / Urgent Intervention</v>
      </c>
      <c r="O5" s="18" t="str">
        <f aca="false">IF(AND(K5&gt;=0.6,L5&gt;=0.6),"Type A – Resilient",IF(AND(K5&gt;=0.6,L5&lt;0.6),"Type B – High SPI / Low OEI",IF(AND(K5&lt;0.6,L5&gt;=0.6),"Type C – Low SPI / High OEI","Type D – Structurally Vulnerable")))</f>
        <v>Type D – Structurally Vulnerable</v>
      </c>
    </row>
    <row r="6" customFormat="false" ht="15" hidden="false" customHeight="true" outlineLevel="0" collapsed="false">
      <c r="A6" s="18" t="n">
        <v>5</v>
      </c>
      <c r="B6" s="18" t="str">
        <f aca="false">Spatial!B6</f>
        <v>WSUC_E</v>
      </c>
      <c r="C6" s="19" t="n">
        <f aca="false">IFERROR('Service Coverage'!F6,0)</f>
        <v>0.85</v>
      </c>
      <c r="D6" s="19" t="n">
        <f aca="false">IFERROR(Adequacy!I6,0)</f>
        <v>0.818181818181818</v>
      </c>
      <c r="E6" s="19" t="n">
        <f aca="false">IFERROR('Water Quality Score'!E6,0)</f>
        <v>0.6</v>
      </c>
      <c r="F6" s="19" t="n">
        <f aca="false">IFERROR('Reliability score'!C6,0)</f>
        <v>0.714285714285714</v>
      </c>
      <c r="G6" s="19" t="n">
        <f aca="false">IFERROR(NRW!G6,0)</f>
        <v>0.75</v>
      </c>
      <c r="H6" s="19" t="n">
        <f aca="false">IFERROR('O&amp;M score'!E6,0)</f>
        <v>0.8</v>
      </c>
      <c r="I6" s="19" t="n">
        <f aca="false">IFERROR('Metering Ratio Score'!E6,0)</f>
        <v>0.8</v>
      </c>
      <c r="J6" s="19" t="n">
        <f aca="false">IF(OR(IFERROR('Grievance Addressal'!D6,"")="No data",IFERROR('Grievance Addressal'!D6,"")=""),0,IFERROR('Grievance Addressal'!D6,0))</f>
        <v>1</v>
      </c>
      <c r="K6" s="19" t="n">
        <f aca="false">0.35*IF(ISNUMBER(E6),E6,0)+0.25*IF(ISNUMBER(C6),C6,0)+0.2*IF(ISNUMBER(D6),D6,0)+0.2*IF(ISNUMBER(F6),F6,0)</f>
        <v>0.728993506493507</v>
      </c>
      <c r="L6" s="19" t="n">
        <f aca="false">0.3*IF(ISNUMBER(G6),G6,0)+0.25*IF(ISNUMBER(J6),J6,0)+0.25*IF(ISNUMBER(H6),H6,0)+0.2*IF(ISNUMBER(I6),I6,0)</f>
        <v>0.835</v>
      </c>
      <c r="M6" s="20" t="n">
        <f aca="false">(K6+L6)/2*100</f>
        <v>78.1996753246753</v>
      </c>
      <c r="N6" s="18" t="str">
        <f aca="false">IF(M6&gt;=95,"Efficient – Highly Efficient",IF(M6&gt;=90,"Efficient – Moderately Efficient",IF(M6&gt;=80,"Improving – Improved",IF(M6&gt;=60,"Improving – Improving",IF(M6&gt;=40,"Functioning – Active",IF(M6&gt;=20,"Functioning – Inactive / Poor","Functioning – Very Poor / Urgent Intervention"))))))</f>
        <v>Improving – Improving</v>
      </c>
      <c r="O6" s="18" t="str">
        <f aca="false">IF(AND(K6&gt;=0.6,L6&gt;=0.6),"Type A – Resilient",IF(AND(K6&gt;=0.6,L6&lt;0.6),"Type B – High SPI / Low OEI",IF(AND(K6&lt;0.6,L6&gt;=0.6),"Type C – Low SPI / High OEI","Type D – Structurally Vulnerable")))</f>
        <v>Type A – Resilient</v>
      </c>
    </row>
    <row r="7" customFormat="false" ht="27.75" hidden="false" customHeight="true" outlineLevel="0" collapsed="false">
      <c r="A7" s="2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</row>
    <row r="8" customFormat="false" ht="13.8" hidden="false" customHeight="false" outlineLevel="0" collapsed="false"/>
    <row r="9" customFormat="false" ht="13.8" hidden="false" customHeight="false" outlineLevel="0" collapsed="false">
      <c r="B9" s="23"/>
      <c r="C9" s="24"/>
      <c r="D9" s="24"/>
      <c r="E9" s="24"/>
      <c r="F9" s="24"/>
      <c r="G9" s="24"/>
      <c r="H9" s="25"/>
    </row>
    <row r="10" customFormat="false" ht="13.8" hidden="false" customHeight="false" outlineLevel="0" collapsed="false">
      <c r="B10" s="26"/>
      <c r="C10" s="27"/>
      <c r="D10" s="27"/>
      <c r="E10" s="27"/>
      <c r="F10" s="27"/>
      <c r="G10" s="27"/>
      <c r="H10" s="28"/>
    </row>
    <row r="11" customFormat="false" ht="13.8" hidden="false" customHeight="false" outlineLevel="0" collapsed="false">
      <c r="B11" s="29"/>
      <c r="C11" s="30"/>
      <c r="D11" s="30"/>
      <c r="E11" s="30"/>
      <c r="F11" s="30"/>
      <c r="G11" s="30"/>
      <c r="H11" s="31"/>
    </row>
    <row r="12" customFormat="false" ht="13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2026-02-07T11:27:18Z</dcterms:created>
  <dc:creator>Pranit Shrestha</dc:creator>
  <dc:description/>
  <dc:language>en-US</dc:language>
  <cp:lastModifiedBy/>
  <dcterms:modified xsi:type="dcterms:W3CDTF">2026-03-10T18:55:53Z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